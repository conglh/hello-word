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 defaultThemeVersion="124226"/>
  <bookViews>
    <workbookView xWindow="180" yWindow="45" windowWidth="19980" windowHeight="16320" activeTab="3"/>
  </bookViews>
  <sheets>
    <sheet name="Vũ Xuân Thành" sheetId="9" r:id="rId1"/>
    <sheet name="Lê Trung Hậu" sheetId="8" r:id="rId2"/>
    <sheet name="Trương Tuấn Anh" sheetId="7" r:id="rId3"/>
    <sheet name="Lê Huy Công" sheetId="10" r:id="rId4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10" i="10" l="1"/>
  <c r="L9" i="10"/>
  <c r="M9" i="10"/>
  <c r="N9" i="10"/>
  <c r="O9" i="10"/>
  <c r="P9" i="10"/>
  <c r="S9" i="10"/>
  <c r="T9" i="10"/>
  <c r="U9" i="10"/>
  <c r="V9" i="10"/>
  <c r="W9" i="10"/>
  <c r="Z9" i="10"/>
  <c r="AA9" i="10"/>
  <c r="AB9" i="10"/>
  <c r="AC9" i="10"/>
  <c r="AD9" i="10"/>
  <c r="AE9" i="10"/>
  <c r="B9" i="10"/>
  <c r="I9" i="10"/>
  <c r="H9" i="10"/>
  <c r="G9" i="10"/>
  <c r="M20" i="10"/>
  <c r="L20" i="10"/>
  <c r="K20" i="10"/>
  <c r="J20" i="10"/>
  <c r="I20" i="10"/>
  <c r="F20" i="10"/>
  <c r="E20" i="10"/>
  <c r="AG18" i="10"/>
  <c r="AG7" i="10"/>
  <c r="F9" i="9"/>
  <c r="B9" i="7"/>
  <c r="F9" i="7"/>
  <c r="G9" i="7"/>
  <c r="H9" i="7"/>
  <c r="I9" i="7"/>
  <c r="L9" i="7"/>
  <c r="M9" i="7"/>
  <c r="N9" i="7"/>
  <c r="O9" i="7"/>
  <c r="P9" i="7"/>
  <c r="S9" i="7"/>
  <c r="T9" i="7"/>
  <c r="U9" i="7"/>
  <c r="V9" i="7"/>
  <c r="W9" i="7"/>
  <c r="Z9" i="7"/>
  <c r="AA9" i="7"/>
  <c r="AB9" i="7"/>
  <c r="AC9" i="7"/>
  <c r="AD9" i="7"/>
  <c r="AG10" i="7"/>
  <c r="B9" i="8"/>
  <c r="F9" i="8"/>
  <c r="G9" i="8"/>
  <c r="I9" i="8"/>
  <c r="L9" i="8"/>
  <c r="M9" i="8"/>
  <c r="N9" i="8"/>
  <c r="O9" i="8"/>
  <c r="P9" i="8"/>
  <c r="S9" i="8"/>
  <c r="T9" i="8"/>
  <c r="U9" i="8"/>
  <c r="V9" i="8"/>
  <c r="W9" i="8"/>
  <c r="Z9" i="8"/>
  <c r="AA9" i="8"/>
  <c r="AB9" i="8"/>
  <c r="AC9" i="8"/>
  <c r="AD9" i="8"/>
  <c r="AE9" i="8"/>
  <c r="AG10" i="8"/>
  <c r="B9" i="9"/>
  <c r="G9" i="9"/>
  <c r="H9" i="9"/>
  <c r="I9" i="9"/>
  <c r="L9" i="9"/>
  <c r="M9" i="9"/>
  <c r="N9" i="9"/>
  <c r="O9" i="9"/>
  <c r="P9" i="9"/>
  <c r="S9" i="9"/>
  <c r="U9" i="9"/>
  <c r="V9" i="9"/>
  <c r="W9" i="9"/>
  <c r="Z9" i="9"/>
  <c r="AA9" i="9"/>
  <c r="AB9" i="9"/>
  <c r="AC9" i="9"/>
  <c r="AD9" i="9"/>
  <c r="AE9" i="9"/>
  <c r="AG10" i="9"/>
  <c r="AG18" i="9"/>
  <c r="AG7" i="9"/>
  <c r="AG18" i="8"/>
  <c r="AG7" i="8"/>
  <c r="AG18" i="7"/>
  <c r="AG7" i="7"/>
</calcChain>
</file>

<file path=xl/sharedStrings.xml><?xml version="1.0" encoding="utf-8"?>
<sst xmlns="http://schemas.openxmlformats.org/spreadsheetml/2006/main" count="105" uniqueCount="20">
  <si>
    <t>CÔNG TY TNHH VÀ DV TRI THỨC MỚI</t>
  </si>
  <si>
    <t>Tổng cộng số giờ nghỉ</t>
  </si>
  <si>
    <t>Tổng cộng</t>
  </si>
  <si>
    <t>THÁNG 8 NĂM 2014</t>
  </si>
  <si>
    <t>Trương Tuấn Anh</t>
  </si>
  <si>
    <t>Ngày</t>
  </si>
  <si>
    <t>Giờ bắt đầu</t>
  </si>
  <si>
    <t>Giờ kết thúc</t>
  </si>
  <si>
    <t>Số giờ làm việc</t>
  </si>
  <si>
    <t>THÁNG 9 NĂM 2014</t>
  </si>
  <si>
    <t>Số phút đi muộn</t>
  </si>
  <si>
    <t>Lê Trung Hậu</t>
  </si>
  <si>
    <t>P</t>
  </si>
  <si>
    <t>Đi muộn có phép</t>
  </si>
  <si>
    <t>Nghỉ</t>
  </si>
  <si>
    <t>Danh mục</t>
  </si>
  <si>
    <t>Vũ Xuân Thành</t>
  </si>
  <si>
    <t>Lê Huy Công</t>
  </si>
  <si>
    <t>p</t>
  </si>
  <si>
    <t>Giờ nghỉ trưa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</si>
</sst>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-F400]h:mm:ss\ AM/PM"/>
    <numFmt numFmtId="167" formatCode="[h]:mm"/>
  </numFmts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/>
    <xf numFmtId="0" fontId="1" fillId="0" borderId="0" xfId="0" applyFont="1"/>
    <xf numFmtId="4" fontId="4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/>
    <xf numFmtId="0" fontId="4" fillId="0" borderId="6" xfId="0" quotePrefix="1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5" xfId="0" applyFont="1" applyFill="1" applyBorder="1"/>
    <xf numFmtId="4" fontId="1" fillId="0" borderId="6" xfId="0" applyNumberFormat="1" applyFont="1" applyFill="1" applyBorder="1" applyAlignment="1">
      <alignment horizontal="center"/>
    </xf>
    <xf numFmtId="4" fontId="1" fillId="0" borderId="7" xfId="0" applyNumberFormat="1" applyFont="1" applyFill="1" applyBorder="1" applyAlignment="1">
      <alignment horizontal="center"/>
    </xf>
    <xf numFmtId="4" fontId="1" fillId="0" borderId="8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1" fontId="5" fillId="0" borderId="5" xfId="0" applyNumberFormat="1" applyFont="1" applyFill="1" applyBorder="1"/>
    <xf numFmtId="4" fontId="1" fillId="0" borderId="5" xfId="0" applyNumberFormat="1" applyFont="1" applyFill="1" applyBorder="1" applyAlignment="1">
      <alignment horizontal="center"/>
    </xf>
    <xf numFmtId="4" fontId="1" fillId="0" borderId="9" xfId="0" applyNumberFormat="1" applyFont="1" applyFill="1" applyBorder="1" applyAlignment="1">
      <alignment horizontal="center"/>
    </xf>
    <xf numFmtId="4" fontId="1" fillId="0" borderId="10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4" fontId="1" fillId="0" borderId="11" xfId="0" applyNumberFormat="1" applyFont="1" applyFill="1" applyBorder="1" applyAlignment="1">
      <alignment horizontal="center"/>
    </xf>
    <xf numFmtId="0" fontId="5" fillId="2" borderId="5" xfId="0" applyFont="1" applyFill="1" applyBorder="1"/>
    <xf numFmtId="4" fontId="1" fillId="2" borderId="6" xfId="0" applyNumberFormat="1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1" fontId="5" fillId="2" borderId="5" xfId="0" applyNumberFormat="1" applyFont="1" applyFill="1" applyBorder="1"/>
    <xf numFmtId="4" fontId="6" fillId="0" borderId="6" xfId="0" applyNumberFormat="1" applyFont="1" applyFill="1" applyBorder="1" applyAlignment="1">
      <alignment horizontal="center"/>
    </xf>
    <xf numFmtId="4" fontId="6" fillId="0" borderId="7" xfId="0" applyNumberFormat="1" applyFont="1" applyFill="1" applyBorder="1" applyAlignment="1">
      <alignment horizontal="center"/>
    </xf>
    <xf numFmtId="4" fontId="6" fillId="3" borderId="6" xfId="0" applyNumberFormat="1" applyFont="1" applyFill="1" applyBorder="1" applyAlignment="1">
      <alignment horizontal="center"/>
    </xf>
    <xf numFmtId="4" fontId="6" fillId="3" borderId="7" xfId="0" applyNumberFormat="1" applyFont="1" applyFill="1" applyBorder="1" applyAlignment="1">
      <alignment horizontal="center"/>
    </xf>
    <xf numFmtId="0" fontId="4" fillId="0" borderId="8" xfId="0" quotePrefix="1" applyNumberFormat="1" applyFont="1" applyBorder="1" applyAlignment="1">
      <alignment horizontal="center" vertical="center" wrapText="1"/>
    </xf>
    <xf numFmtId="4" fontId="1" fillId="0" borderId="12" xfId="0" applyNumberFormat="1" applyFont="1" applyFill="1" applyBorder="1" applyAlignment="1">
      <alignment horizontal="center"/>
    </xf>
    <xf numFmtId="4" fontId="6" fillId="3" borderId="8" xfId="0" applyNumberFormat="1" applyFont="1" applyFill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4" fontId="6" fillId="0" borderId="8" xfId="0" applyNumberFormat="1" applyFont="1" applyFill="1" applyBorder="1" applyAlignment="1">
      <alignment horizontal="center"/>
    </xf>
    <xf numFmtId="3" fontId="1" fillId="0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3" fontId="1" fillId="0" borderId="8" xfId="0" applyNumberFormat="1" applyFont="1" applyFill="1" applyBorder="1" applyAlignment="1">
      <alignment horizontal="center"/>
    </xf>
    <xf numFmtId="3" fontId="1" fillId="0" borderId="12" xfId="0" applyNumberFormat="1" applyFont="1" applyFill="1" applyBorder="1" applyAlignment="1">
      <alignment horizontal="center"/>
    </xf>
    <xf numFmtId="0" fontId="5" fillId="0" borderId="0" xfId="0" applyFont="1"/>
    <xf numFmtId="0" fontId="0" fillId="3" borderId="0" xfId="0" applyFill="1"/>
    <xf numFmtId="0" fontId="0" fillId="0" borderId="0" xfId="0" applyFill="1"/>
    <xf numFmtId="4" fontId="1" fillId="3" borderId="6" xfId="0" applyNumberFormat="1" applyFont="1" applyFill="1" applyBorder="1" applyAlignment="1">
      <alignment horizontal="center"/>
    </xf>
    <xf numFmtId="3" fontId="1" fillId="3" borderId="8" xfId="0" applyNumberFormat="1" applyFont="1" applyFill="1" applyBorder="1" applyAlignment="1">
      <alignment horizontal="center"/>
    </xf>
    <xf numFmtId="4" fontId="1" fillId="3" borderId="7" xfId="0" applyNumberFormat="1" applyFont="1" applyFill="1" applyBorder="1" applyAlignment="1">
      <alignment horizontal="center"/>
    </xf>
    <xf numFmtId="4" fontId="7" fillId="0" borderId="6" xfId="0" applyNumberFormat="1" applyFont="1" applyFill="1" applyBorder="1" applyAlignment="1">
      <alignment horizontal="center"/>
    </xf>
    <xf numFmtId="4" fontId="7" fillId="0" borderId="8" xfId="0" applyNumberFormat="1" applyFont="1" applyFill="1" applyBorder="1" applyAlignment="1">
      <alignment horizontal="center"/>
    </xf>
    <xf numFmtId="4" fontId="7" fillId="0" borderId="7" xfId="0" applyNumberFormat="1" applyFont="1" applyFill="1" applyBorder="1" applyAlignment="1">
      <alignment horizontal="center"/>
    </xf>
    <xf numFmtId="3" fontId="1" fillId="3" borderId="11" xfId="0" applyNumberFormat="1" applyFont="1" applyFill="1" applyBorder="1" applyAlignment="1">
      <alignment horizontal="center"/>
    </xf>
    <xf numFmtId="1" fontId="5" fillId="4" borderId="5" xfId="0" applyNumberFormat="1" applyFont="1" applyFill="1" applyBorder="1"/>
    <xf numFmtId="0" fontId="5" fillId="4" borderId="5" xfId="0" applyFont="1" applyFill="1" applyBorder="1"/>
    <xf numFmtId="4" fontId="1" fillId="4" borderId="6" xfId="0" applyNumberFormat="1" applyFont="1" applyFill="1" applyBorder="1" applyAlignment="1">
      <alignment horizontal="center"/>
    </xf>
    <xf numFmtId="3" fontId="1" fillId="4" borderId="8" xfId="0" applyNumberFormat="1" applyFont="1" applyFill="1" applyBorder="1" applyAlignment="1">
      <alignment horizontal="center"/>
    </xf>
    <xf numFmtId="4" fontId="1" fillId="4" borderId="7" xfId="0" applyNumberFormat="1" applyFont="1" applyFill="1" applyBorder="1" applyAlignment="1">
      <alignment horizontal="center"/>
    </xf>
    <xf numFmtId="1" fontId="5" fillId="3" borderId="5" xfId="0" applyNumberFormat="1" applyFont="1" applyFill="1" applyBorder="1"/>
    <xf numFmtId="4" fontId="1" fillId="4" borderId="8" xfId="0" applyNumberFormat="1" applyFont="1" applyFill="1" applyBorder="1" applyAlignment="1">
      <alignment horizontal="center"/>
    </xf>
    <xf numFmtId="4" fontId="1" fillId="3" borderId="8" xfId="0" applyNumberFormat="1" applyFont="1" applyFill="1" applyBorder="1" applyAlignment="1">
      <alignment horizontal="center"/>
    </xf>
    <xf numFmtId="1" fontId="5" fillId="5" borderId="5" xfId="0" applyNumberFormat="1" applyFont="1" applyFill="1" applyBorder="1"/>
    <xf numFmtId="4" fontId="1" fillId="5" borderId="6" xfId="0" applyNumberFormat="1" applyFont="1" applyFill="1" applyBorder="1" applyAlignment="1">
      <alignment horizontal="center"/>
    </xf>
    <xf numFmtId="3" fontId="1" fillId="5" borderId="8" xfId="0" applyNumberFormat="1" applyFont="1" applyFill="1" applyBorder="1" applyAlignment="1">
      <alignment horizontal="center"/>
    </xf>
    <xf numFmtId="4" fontId="1" fillId="5" borderId="7" xfId="0" applyNumberFormat="1" applyFont="1" applyFill="1" applyBorder="1" applyAlignment="1">
      <alignment horizontal="center"/>
    </xf>
    <xf numFmtId="0" fontId="5" fillId="5" borderId="5" xfId="0" applyFont="1" applyFill="1" applyBorder="1"/>
    <xf numFmtId="3" fontId="1" fillId="5" borderId="1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7" fontId="1" fillId="0" borderId="7" xfId="0" applyNumberFormat="1" applyFont="1" applyFill="1" applyBorder="1" applyAlignment="1">
      <alignment horizontal="center"/>
    </xf>
    <xf numFmtId="21" fontId="1" fillId="0" borderId="13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7" fontId="1" fillId="3" borderId="7" xfId="0" applyNumberFormat="1" applyFont="1" applyFill="1" applyBorder="1" applyAlignment="1">
      <alignment horizontal="center"/>
    </xf>
    <xf numFmtId="167" fontId="1" fillId="4" borderId="7" xfId="0" applyNumberFormat="1" applyFont="1" applyFill="1" applyBorder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20" fontId="1" fillId="0" borderId="5" xfId="0" applyNumberFormat="1" applyFont="1" applyFill="1" applyBorder="1" applyAlignment="1">
      <alignment horizontal="center"/>
    </xf>
    <xf numFmtId="20" fontId="1" fillId="4" borderId="6" xfId="0" applyNumberFormat="1" applyFont="1" applyFill="1" applyBorder="1" applyAlignment="1">
      <alignment horizontal="center"/>
    </xf>
    <xf numFmtId="20" fontId="1" fillId="0" borderId="6" xfId="0" applyNumberFormat="1" applyFont="1" applyFill="1" applyBorder="1" applyAlignment="1">
      <alignment horizontal="center"/>
    </xf>
    <xf numFmtId="20" fontId="1" fillId="3" borderId="6" xfId="0" applyNumberFormat="1" applyFont="1" applyFill="1" applyBorder="1" applyAlignment="1">
      <alignment horizontal="center"/>
    </xf>
    <xf numFmtId="20" fontId="1" fillId="5" borderId="6" xfId="0" applyNumberFormat="1" applyFont="1" applyFill="1" applyBorder="1" applyAlignment="1">
      <alignment horizontal="center"/>
    </xf>
    <xf numFmtId="20" fontId="1" fillId="0" borderId="9" xfId="0" applyNumberFormat="1" applyFont="1" applyFill="1" applyBorder="1" applyAlignment="1">
      <alignment horizontal="center"/>
    </xf>
    <xf numFmtId="20" fontId="7" fillId="0" borderId="6" xfId="0" applyNumberFormat="1" applyFont="1" applyFill="1" applyBorder="1" applyAlignment="1">
      <alignment horizontal="center"/>
    </xf>
    <xf numFmtId="20" fontId="1" fillId="0" borderId="7" xfId="0" applyNumberFormat="1" applyFont="1" applyFill="1" applyBorder="1" applyAlignment="1">
      <alignment horizontal="center"/>
    </xf>
    <xf numFmtId="20" fontId="1" fillId="4" borderId="7" xfId="0" applyNumberFormat="1" applyFont="1" applyFill="1" applyBorder="1" applyAlignment="1">
      <alignment horizontal="center"/>
    </xf>
    <xf numFmtId="20" fontId="1" fillId="3" borderId="7" xfId="0" applyNumberFormat="1" applyFont="1" applyFill="1" applyBorder="1" applyAlignment="1">
      <alignment horizontal="center"/>
    </xf>
    <xf numFmtId="20" fontId="1" fillId="5" borderId="7" xfId="0" applyNumberFormat="1" applyFont="1" applyFill="1" applyBorder="1" applyAlignment="1">
      <alignment horizontal="center"/>
    </xf>
    <xf numFmtId="20" fontId="1" fillId="0" borderId="10" xfId="0" applyNumberFormat="1" applyFont="1" applyFill="1" applyBorder="1" applyAlignment="1">
      <alignment horizontal="center"/>
    </xf>
    <xf numFmtId="20" fontId="7" fillId="0" borderId="7" xfId="0" applyNumberFormat="1" applyFont="1" applyFill="1" applyBorder="1" applyAlignment="1">
      <alignment horizontal="center"/>
    </xf>
  </cellXfs>
  <cellStyles count="9">
    <cellStyle name="Followed Hyperlink" xfId="8" builtinId="9" hidden="1"/>
    <cellStyle name="Hyperlink" xfId="7" builtinId="8" hidden="1"/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selection activeCell="A3" sqref="A3:D3"/>
    </sheetView>
  </sheetViews>
  <sheetFormatPr defaultColWidth="8.85546875" defaultRowHeight="15"/>
  <cols>
    <col min="1" max="1" width="17.42578125" customWidth="1"/>
    <col min="2" max="32" width="5.28515625" customWidth="1"/>
    <col min="33" max="33" width="13.42578125" customWidth="1"/>
  </cols>
  <sheetData>
    <row r="1" spans="1:33" ht="18.75">
      <c r="A1" s="42" t="s">
        <v>16</v>
      </c>
      <c r="B1" s="2"/>
      <c r="C1" s="2"/>
      <c r="D1" s="2"/>
      <c r="E1" s="66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1"/>
      <c r="AC1" s="1"/>
      <c r="AD1" s="1"/>
      <c r="AE1" s="1"/>
      <c r="AF1" s="1"/>
      <c r="AG1" s="1"/>
    </row>
    <row r="2" spans="1:33">
      <c r="A2" s="2"/>
      <c r="B2" s="2"/>
      <c r="C2" s="2"/>
      <c r="D2" s="2"/>
      <c r="E2" s="2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1"/>
      <c r="AB2" s="1"/>
      <c r="AC2" s="1"/>
      <c r="AD2" s="1"/>
      <c r="AE2" s="1"/>
      <c r="AF2" s="1"/>
      <c r="AG2" s="1"/>
    </row>
    <row r="3" spans="1:33">
      <c r="A3" s="2" t="s">
        <v>19</v>
      </c>
      <c r="B3" s="71">
        <v>6.25E-2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  <c r="AA3" s="1"/>
      <c r="AB3" s="1"/>
      <c r="AC3" s="1"/>
      <c r="AD3" s="1"/>
      <c r="AE3" s="1"/>
      <c r="AF3" s="1"/>
      <c r="AG3" s="1"/>
    </row>
    <row r="4" spans="1:33" ht="28.5">
      <c r="A4" s="22" t="s">
        <v>15</v>
      </c>
      <c r="B4" s="68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3" t="s">
        <v>1</v>
      </c>
    </row>
    <row r="5" spans="1:33">
      <c r="A5" s="4"/>
      <c r="B5" s="18">
        <v>1</v>
      </c>
      <c r="C5" s="24">
        <v>2</v>
      </c>
      <c r="D5" s="28">
        <v>3</v>
      </c>
      <c r="E5" s="12">
        <v>4</v>
      </c>
      <c r="F5" s="18">
        <v>5</v>
      </c>
      <c r="G5" s="12">
        <v>6</v>
      </c>
      <c r="H5" s="18">
        <v>7</v>
      </c>
      <c r="I5" s="12">
        <v>8</v>
      </c>
      <c r="J5" s="52">
        <v>9</v>
      </c>
      <c r="K5" s="53">
        <v>10</v>
      </c>
      <c r="L5" s="18">
        <v>11</v>
      </c>
      <c r="M5" s="12">
        <v>12</v>
      </c>
      <c r="N5" s="18">
        <v>13</v>
      </c>
      <c r="O5" s="12">
        <v>14</v>
      </c>
      <c r="P5" s="18">
        <v>15</v>
      </c>
      <c r="Q5" s="53">
        <v>16</v>
      </c>
      <c r="R5" s="52">
        <v>17</v>
      </c>
      <c r="S5" s="12">
        <v>18</v>
      </c>
      <c r="T5" s="57">
        <v>19</v>
      </c>
      <c r="U5" s="12">
        <v>20</v>
      </c>
      <c r="V5" s="18">
        <v>21</v>
      </c>
      <c r="W5" s="12">
        <v>22</v>
      </c>
      <c r="X5" s="52">
        <v>23</v>
      </c>
      <c r="Y5" s="53">
        <v>24</v>
      </c>
      <c r="Z5" s="18">
        <v>25</v>
      </c>
      <c r="AA5" s="12">
        <v>26</v>
      </c>
      <c r="AB5" s="18">
        <v>27</v>
      </c>
      <c r="AC5" s="12">
        <v>28</v>
      </c>
      <c r="AD5" s="18">
        <v>29</v>
      </c>
      <c r="AE5" s="18">
        <v>30</v>
      </c>
      <c r="AF5" s="53">
        <v>31</v>
      </c>
      <c r="AG5" s="4"/>
    </row>
    <row r="6" spans="1:33">
      <c r="A6" s="5" t="s">
        <v>6</v>
      </c>
      <c r="B6" s="19">
        <v>9.0299999999999994</v>
      </c>
      <c r="C6" s="25"/>
      <c r="D6" s="25"/>
      <c r="E6" s="13"/>
      <c r="F6" s="13">
        <v>8.02</v>
      </c>
      <c r="G6" s="13">
        <v>7.53</v>
      </c>
      <c r="H6" s="13">
        <v>7.54</v>
      </c>
      <c r="I6" s="13">
        <v>7.52</v>
      </c>
      <c r="J6" s="54"/>
      <c r="K6" s="54"/>
      <c r="L6" s="13">
        <v>7.55</v>
      </c>
      <c r="M6" s="13">
        <v>7.58</v>
      </c>
      <c r="N6" s="13">
        <v>8.02</v>
      </c>
      <c r="O6" s="13">
        <v>8.01</v>
      </c>
      <c r="P6" s="13">
        <v>8.0299999999999994</v>
      </c>
      <c r="Q6" s="54"/>
      <c r="R6" s="54"/>
      <c r="S6" s="13">
        <v>7.53</v>
      </c>
      <c r="T6" s="45"/>
      <c r="U6" s="13">
        <v>7.59</v>
      </c>
      <c r="V6" s="13">
        <v>7.59</v>
      </c>
      <c r="W6" s="20">
        <v>7.54</v>
      </c>
      <c r="X6" s="54"/>
      <c r="Y6" s="54"/>
      <c r="Z6" s="13">
        <v>7.58</v>
      </c>
      <c r="AA6" s="13">
        <v>7.59</v>
      </c>
      <c r="AB6" s="13">
        <v>7.55</v>
      </c>
      <c r="AC6" s="13">
        <v>7.56</v>
      </c>
      <c r="AD6" s="13">
        <v>7.59</v>
      </c>
      <c r="AE6" s="48">
        <v>7.51</v>
      </c>
      <c r="AF6" s="54"/>
      <c r="AG6" s="8"/>
    </row>
    <row r="7" spans="1:33">
      <c r="A7" s="33" t="s">
        <v>10</v>
      </c>
      <c r="B7" s="23" t="s">
        <v>12</v>
      </c>
      <c r="C7" s="27"/>
      <c r="D7" s="27"/>
      <c r="E7" s="15"/>
      <c r="F7" s="38">
        <v>2</v>
      </c>
      <c r="G7" s="38"/>
      <c r="H7" s="38"/>
      <c r="I7" s="38"/>
      <c r="J7" s="55"/>
      <c r="K7" s="55"/>
      <c r="L7" s="38"/>
      <c r="M7" s="38"/>
      <c r="N7" s="38">
        <v>2</v>
      </c>
      <c r="O7" s="38">
        <v>1</v>
      </c>
      <c r="P7" s="38">
        <v>3</v>
      </c>
      <c r="Q7" s="55"/>
      <c r="R7" s="55"/>
      <c r="S7" s="40"/>
      <c r="T7" s="46"/>
      <c r="U7" s="38"/>
      <c r="V7" s="40"/>
      <c r="W7" s="41"/>
      <c r="X7" s="55"/>
      <c r="Y7" s="55"/>
      <c r="Z7" s="38"/>
      <c r="AA7" s="15"/>
      <c r="AB7" s="15"/>
      <c r="AC7" s="15"/>
      <c r="AD7" s="38"/>
      <c r="AE7" s="49"/>
      <c r="AF7" s="58"/>
      <c r="AG7" s="36">
        <f>SUM(B7:AF7)/60</f>
        <v>0.13333333333333333</v>
      </c>
    </row>
    <row r="8" spans="1:33">
      <c r="A8" s="7" t="s">
        <v>7</v>
      </c>
      <c r="B8" s="14">
        <v>20.32</v>
      </c>
      <c r="C8" s="26"/>
      <c r="D8" s="26"/>
      <c r="E8" s="14"/>
      <c r="F8" s="14">
        <v>18.12</v>
      </c>
      <c r="G8" s="14">
        <v>18.43</v>
      </c>
      <c r="H8" s="14">
        <v>18.440000000000001</v>
      </c>
      <c r="I8" s="14">
        <v>17.53</v>
      </c>
      <c r="J8" s="56"/>
      <c r="K8" s="56"/>
      <c r="L8" s="14">
        <v>17.53</v>
      </c>
      <c r="M8" s="14">
        <v>18.239999999999998</v>
      </c>
      <c r="N8" s="14">
        <v>18.260000000000002</v>
      </c>
      <c r="O8" s="14">
        <v>17.55</v>
      </c>
      <c r="P8" s="14">
        <v>18.47</v>
      </c>
      <c r="Q8" s="56"/>
      <c r="R8" s="56"/>
      <c r="S8" s="14">
        <v>17.350000000000001</v>
      </c>
      <c r="T8" s="47"/>
      <c r="U8" s="14">
        <v>17.559999999999999</v>
      </c>
      <c r="V8" s="14">
        <v>17.399999999999999</v>
      </c>
      <c r="W8" s="21">
        <v>18.260000000000002</v>
      </c>
      <c r="X8" s="56"/>
      <c r="Y8" s="56"/>
      <c r="Z8" s="14">
        <v>17.43</v>
      </c>
      <c r="AA8" s="14">
        <v>17.489999999999998</v>
      </c>
      <c r="AB8" s="14">
        <v>17.39</v>
      </c>
      <c r="AC8" s="14">
        <v>17.329999999999998</v>
      </c>
      <c r="AD8" s="14">
        <v>17.350000000000001</v>
      </c>
      <c r="AE8" s="50">
        <v>16.010000000000002</v>
      </c>
      <c r="AF8" s="56"/>
      <c r="AG8" s="9"/>
    </row>
    <row r="9" spans="1:33">
      <c r="A9" s="7" t="s">
        <v>8</v>
      </c>
      <c r="B9" s="14">
        <f>B8-B6-1.5</f>
        <v>9.7900000000000009</v>
      </c>
      <c r="C9" s="26"/>
      <c r="D9" s="26"/>
      <c r="E9" s="14"/>
      <c r="F9" s="14">
        <f>F8-F6-1.5</f>
        <v>8.6000000000000014</v>
      </c>
      <c r="G9" s="14">
        <f t="shared" ref="G9:AE9" si="0">G8-G6-1.5</f>
        <v>9.3999999999999986</v>
      </c>
      <c r="H9" s="14">
        <f t="shared" si="0"/>
        <v>9.4000000000000021</v>
      </c>
      <c r="I9" s="14">
        <f t="shared" si="0"/>
        <v>8.5100000000000016</v>
      </c>
      <c r="J9" s="56"/>
      <c r="K9" s="56"/>
      <c r="L9" s="14">
        <f t="shared" si="0"/>
        <v>8.48</v>
      </c>
      <c r="M9" s="14">
        <f t="shared" si="0"/>
        <v>9.1599999999999984</v>
      </c>
      <c r="N9" s="14">
        <f t="shared" si="0"/>
        <v>8.740000000000002</v>
      </c>
      <c r="O9" s="14">
        <f t="shared" si="0"/>
        <v>8.0400000000000009</v>
      </c>
      <c r="P9" s="14">
        <f t="shared" si="0"/>
        <v>8.94</v>
      </c>
      <c r="Q9" s="56"/>
      <c r="R9" s="56"/>
      <c r="S9" s="14">
        <f t="shared" si="0"/>
        <v>8.32</v>
      </c>
      <c r="T9" s="47"/>
      <c r="U9" s="14">
        <f t="shared" si="0"/>
        <v>8.4699999999999989</v>
      </c>
      <c r="V9" s="14">
        <f t="shared" si="0"/>
        <v>8.3099999999999987</v>
      </c>
      <c r="W9" s="14">
        <f t="shared" si="0"/>
        <v>9.2200000000000024</v>
      </c>
      <c r="X9" s="56"/>
      <c r="Y9" s="56"/>
      <c r="Z9" s="14">
        <f t="shared" si="0"/>
        <v>8.35</v>
      </c>
      <c r="AA9" s="14">
        <f t="shared" si="0"/>
        <v>8.3999999999999986</v>
      </c>
      <c r="AB9" s="14">
        <f t="shared" si="0"/>
        <v>8.34</v>
      </c>
      <c r="AC9" s="14">
        <f t="shared" si="0"/>
        <v>8.27</v>
      </c>
      <c r="AD9" s="14">
        <f t="shared" si="0"/>
        <v>8.2600000000000016</v>
      </c>
      <c r="AE9" s="14">
        <f t="shared" si="0"/>
        <v>7.0000000000000018</v>
      </c>
      <c r="AF9" s="56"/>
      <c r="AG9" s="10"/>
    </row>
    <row r="10" spans="1:33">
      <c r="A10" s="6" t="s">
        <v>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6"/>
      <c r="Y10" s="16"/>
      <c r="Z10" s="16"/>
      <c r="AA10" s="16"/>
      <c r="AB10" s="16"/>
      <c r="AC10" s="16"/>
      <c r="AD10" s="16"/>
      <c r="AE10" s="16"/>
      <c r="AF10" s="16"/>
      <c r="AG10" s="11">
        <f>SUM(B9:AF9)</f>
        <v>172.00000000000003</v>
      </c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"/>
      <c r="B13" s="1"/>
      <c r="C13" s="1"/>
      <c r="D13" s="1"/>
      <c r="E13" s="1"/>
      <c r="F13" s="67" t="s">
        <v>9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1"/>
      <c r="AB13" s="1"/>
      <c r="AC13" s="1"/>
      <c r="AD13" s="1"/>
      <c r="AE13" s="1"/>
      <c r="AF13" s="1"/>
      <c r="AG13" s="1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8.5">
      <c r="A15" s="22" t="s">
        <v>15</v>
      </c>
      <c r="B15" s="68" t="s">
        <v>5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3" t="s">
        <v>1</v>
      </c>
    </row>
    <row r="16" spans="1:33">
      <c r="A16" s="4"/>
      <c r="B16" s="24">
        <v>1</v>
      </c>
      <c r="C16" s="28">
        <v>2</v>
      </c>
      <c r="D16" s="18">
        <v>3</v>
      </c>
      <c r="E16" s="12">
        <v>4</v>
      </c>
      <c r="F16" s="18">
        <v>5</v>
      </c>
      <c r="G16" s="24">
        <v>6</v>
      </c>
      <c r="H16" s="28">
        <v>7</v>
      </c>
      <c r="I16" s="12">
        <v>8</v>
      </c>
      <c r="J16" s="18">
        <v>9</v>
      </c>
      <c r="K16" s="12">
        <v>10</v>
      </c>
      <c r="L16" s="18">
        <v>11</v>
      </c>
      <c r="M16" s="12">
        <v>12</v>
      </c>
      <c r="N16" s="24">
        <v>13</v>
      </c>
      <c r="O16" s="28">
        <v>14</v>
      </c>
      <c r="P16" s="18">
        <v>15</v>
      </c>
      <c r="Q16" s="12">
        <v>16</v>
      </c>
      <c r="R16" s="18">
        <v>17</v>
      </c>
      <c r="S16" s="12">
        <v>18</v>
      </c>
      <c r="T16" s="18">
        <v>19</v>
      </c>
      <c r="U16" s="12">
        <v>20</v>
      </c>
      <c r="V16" s="18">
        <v>21</v>
      </c>
      <c r="W16" s="12">
        <v>22</v>
      </c>
      <c r="X16" s="18">
        <v>23</v>
      </c>
      <c r="Y16" s="12">
        <v>24</v>
      </c>
      <c r="Z16" s="18">
        <v>25</v>
      </c>
      <c r="AA16" s="12">
        <v>26</v>
      </c>
      <c r="AB16" s="18">
        <v>27</v>
      </c>
      <c r="AC16" s="12">
        <v>28</v>
      </c>
      <c r="AD16" s="18">
        <v>29</v>
      </c>
      <c r="AE16" s="18">
        <v>30</v>
      </c>
      <c r="AF16" s="12">
        <v>31</v>
      </c>
      <c r="AG16" s="4"/>
    </row>
    <row r="17" spans="1:33" ht="15" customHeight="1">
      <c r="A17" s="5" t="s">
        <v>6</v>
      </c>
      <c r="B17" s="25"/>
      <c r="C17" s="25"/>
      <c r="D17" s="13">
        <v>7.55</v>
      </c>
      <c r="E17" s="13">
        <v>7.56</v>
      </c>
      <c r="F17" s="13">
        <v>7.57</v>
      </c>
      <c r="G17" s="25"/>
      <c r="H17" s="25"/>
      <c r="I17" s="45"/>
      <c r="J17" s="13">
        <v>8.0500000000000007</v>
      </c>
      <c r="K17" s="13">
        <v>8.0399999999999991</v>
      </c>
      <c r="L17" s="13">
        <v>8.01</v>
      </c>
      <c r="M17" s="13">
        <v>8.02</v>
      </c>
      <c r="N17" s="25"/>
      <c r="O17" s="25"/>
      <c r="P17" s="13"/>
      <c r="Q17" s="13"/>
      <c r="R17" s="13"/>
      <c r="S17" s="13"/>
      <c r="T17" s="13"/>
      <c r="U17" s="13"/>
      <c r="V17" s="13"/>
      <c r="W17" s="20"/>
      <c r="X17" s="13"/>
      <c r="Y17" s="13"/>
      <c r="Z17" s="13"/>
      <c r="AA17" s="13"/>
      <c r="AB17" s="13"/>
      <c r="AC17" s="13"/>
      <c r="AD17" s="13"/>
      <c r="AE17" s="29"/>
      <c r="AF17" s="13"/>
      <c r="AG17" s="8"/>
    </row>
    <row r="18" spans="1:33" ht="15" customHeight="1">
      <c r="A18" s="33" t="s">
        <v>10</v>
      </c>
      <c r="B18" s="27"/>
      <c r="C18" s="27"/>
      <c r="D18" s="40"/>
      <c r="E18" s="40"/>
      <c r="F18" s="38"/>
      <c r="G18" s="39"/>
      <c r="H18" s="39"/>
      <c r="I18" s="51"/>
      <c r="J18" s="40">
        <v>5</v>
      </c>
      <c r="K18" s="40">
        <v>4</v>
      </c>
      <c r="L18" s="38">
        <v>1</v>
      </c>
      <c r="M18" s="38">
        <v>2</v>
      </c>
      <c r="N18" s="27"/>
      <c r="O18" s="27"/>
      <c r="P18" s="23"/>
      <c r="Q18" s="15"/>
      <c r="R18" s="15"/>
      <c r="S18" s="15"/>
      <c r="T18" s="15"/>
      <c r="U18" s="23"/>
      <c r="V18" s="15"/>
      <c r="W18" s="34"/>
      <c r="X18" s="15"/>
      <c r="Y18" s="15"/>
      <c r="Z18" s="23"/>
      <c r="AA18" s="15"/>
      <c r="AB18" s="15"/>
      <c r="AC18" s="15"/>
      <c r="AD18" s="23"/>
      <c r="AE18" s="37"/>
      <c r="AF18" s="15"/>
      <c r="AG18" s="36">
        <f>SUM(B18:AF18)/60</f>
        <v>0.2</v>
      </c>
    </row>
    <row r="19" spans="1:33" ht="15" customHeight="1">
      <c r="A19" s="7" t="s">
        <v>7</v>
      </c>
      <c r="B19" s="26"/>
      <c r="C19" s="26"/>
      <c r="D19" s="14">
        <v>17.309999999999999</v>
      </c>
      <c r="E19" s="14">
        <v>17.3</v>
      </c>
      <c r="F19" s="14">
        <v>17.309999999999999</v>
      </c>
      <c r="G19" s="26"/>
      <c r="H19" s="26"/>
      <c r="I19" s="47"/>
      <c r="J19" s="14">
        <v>17.38</v>
      </c>
      <c r="K19" s="14">
        <v>17.41</v>
      </c>
      <c r="L19" s="14">
        <v>17.38</v>
      </c>
      <c r="M19" s="14">
        <v>17.329999999999998</v>
      </c>
      <c r="N19" s="26"/>
      <c r="O19" s="26"/>
      <c r="P19" s="14"/>
      <c r="Q19" s="14"/>
      <c r="R19" s="14"/>
      <c r="S19" s="14"/>
      <c r="T19" s="14"/>
      <c r="U19" s="14"/>
      <c r="V19" s="14"/>
      <c r="W19" s="21"/>
      <c r="X19" s="14"/>
      <c r="Y19" s="14"/>
      <c r="Z19" s="14"/>
      <c r="AA19" s="14"/>
      <c r="AB19" s="14"/>
      <c r="AC19" s="14"/>
      <c r="AD19" s="14"/>
      <c r="AE19" s="30"/>
      <c r="AF19" s="14"/>
      <c r="AG19" s="9"/>
    </row>
    <row r="20" spans="1:33" ht="15" customHeight="1">
      <c r="A20" s="7" t="s">
        <v>8</v>
      </c>
      <c r="B20" s="26"/>
      <c r="C20" s="26"/>
      <c r="D20" s="14">
        <v>8</v>
      </c>
      <c r="E20" s="14">
        <v>8</v>
      </c>
      <c r="F20" s="14">
        <v>8</v>
      </c>
      <c r="G20" s="26"/>
      <c r="H20" s="26"/>
      <c r="I20" s="47"/>
      <c r="J20" s="14">
        <v>8</v>
      </c>
      <c r="K20" s="14">
        <v>9</v>
      </c>
      <c r="L20" s="14">
        <v>8</v>
      </c>
      <c r="M20" s="14">
        <v>8</v>
      </c>
      <c r="N20" s="26"/>
      <c r="O20" s="26"/>
      <c r="P20" s="14"/>
      <c r="Q20" s="14"/>
      <c r="R20" s="14"/>
      <c r="S20" s="14"/>
      <c r="T20" s="14"/>
      <c r="U20" s="14"/>
      <c r="V20" s="14"/>
      <c r="W20" s="21"/>
      <c r="X20" s="14"/>
      <c r="Y20" s="14"/>
      <c r="Z20" s="14"/>
      <c r="AA20" s="14"/>
      <c r="AB20" s="14"/>
      <c r="AC20" s="14"/>
      <c r="AD20" s="14"/>
      <c r="AE20" s="30"/>
      <c r="AF20" s="14"/>
      <c r="AG20" s="10"/>
    </row>
    <row r="21" spans="1:33">
      <c r="A21" s="6" t="s">
        <v>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6"/>
      <c r="Y21" s="16"/>
      <c r="Z21" s="16"/>
      <c r="AA21" s="16"/>
      <c r="AB21" s="16"/>
      <c r="AC21" s="16"/>
      <c r="AD21" s="16"/>
      <c r="AE21" s="16"/>
      <c r="AF21" s="16"/>
      <c r="AG21" s="11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B24" s="44" t="s">
        <v>12</v>
      </c>
      <c r="C24" s="44" t="s">
        <v>13</v>
      </c>
      <c r="D24" s="44"/>
      <c r="E24" s="44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B25" s="43"/>
      <c r="C25" s="1" t="s"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</sheetData>
  <mergeCells count="6">
    <mergeCell ref="E1:AA1"/>
    <mergeCell ref="F2:Z2"/>
    <mergeCell ref="B4:AF4"/>
    <mergeCell ref="F13:Z13"/>
    <mergeCell ref="B15:AF15"/>
    <mergeCell ref="B3:D3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selection activeCell="A3" sqref="A3:D3"/>
    </sheetView>
  </sheetViews>
  <sheetFormatPr defaultColWidth="8.85546875" defaultRowHeight="15"/>
  <cols>
    <col min="1" max="1" width="20.7109375" customWidth="1"/>
    <col min="2" max="32" width="5.7109375" customWidth="1"/>
    <col min="33" max="33" width="12.140625" customWidth="1"/>
  </cols>
  <sheetData>
    <row r="1" spans="1:33" ht="18.75">
      <c r="A1" s="42" t="s">
        <v>11</v>
      </c>
      <c r="B1" s="2"/>
      <c r="C1" s="2"/>
      <c r="D1" s="2"/>
      <c r="E1" s="66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1"/>
      <c r="AC1" s="1"/>
      <c r="AD1" s="1"/>
      <c r="AE1" s="1"/>
      <c r="AF1" s="1"/>
      <c r="AG1" s="1"/>
    </row>
    <row r="2" spans="1:33">
      <c r="A2" s="2"/>
      <c r="B2" s="2"/>
      <c r="C2" s="2"/>
      <c r="D2" s="2"/>
      <c r="E2" s="2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1"/>
      <c r="AB2" s="1"/>
      <c r="AC2" s="1"/>
      <c r="AD2" s="1"/>
      <c r="AE2" s="1"/>
      <c r="AF2" s="1"/>
      <c r="AG2" s="1"/>
    </row>
    <row r="3" spans="1:33">
      <c r="A3" s="2" t="s">
        <v>19</v>
      </c>
      <c r="B3" s="71">
        <v>6.25E-2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  <c r="AA3" s="1"/>
      <c r="AB3" s="1"/>
      <c r="AC3" s="1"/>
      <c r="AD3" s="1"/>
      <c r="AE3" s="1"/>
      <c r="AF3" s="1"/>
      <c r="AG3" s="1"/>
    </row>
    <row r="4" spans="1:33" ht="28.5">
      <c r="A4" s="22" t="s">
        <v>15</v>
      </c>
      <c r="B4" s="68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3" t="s">
        <v>1</v>
      </c>
    </row>
    <row r="5" spans="1:33">
      <c r="A5" s="4"/>
      <c r="B5" s="18">
        <v>1</v>
      </c>
      <c r="C5" s="53">
        <v>2</v>
      </c>
      <c r="D5" s="52">
        <v>3</v>
      </c>
      <c r="E5" s="12">
        <v>4</v>
      </c>
      <c r="F5" s="18">
        <v>5</v>
      </c>
      <c r="G5" s="12">
        <v>6</v>
      </c>
      <c r="H5" s="18">
        <v>7</v>
      </c>
      <c r="I5" s="12">
        <v>8</v>
      </c>
      <c r="J5" s="52">
        <v>9</v>
      </c>
      <c r="K5" s="53">
        <v>10</v>
      </c>
      <c r="L5" s="18">
        <v>11</v>
      </c>
      <c r="M5" s="12">
        <v>12</v>
      </c>
      <c r="N5" s="18">
        <v>13</v>
      </c>
      <c r="O5" s="12">
        <v>14</v>
      </c>
      <c r="P5" s="18">
        <v>15</v>
      </c>
      <c r="Q5" s="53">
        <v>16</v>
      </c>
      <c r="R5" s="52">
        <v>17</v>
      </c>
      <c r="S5" s="12">
        <v>18</v>
      </c>
      <c r="T5" s="18">
        <v>19</v>
      </c>
      <c r="U5" s="12">
        <v>20</v>
      </c>
      <c r="V5" s="18">
        <v>21</v>
      </c>
      <c r="W5" s="12">
        <v>22</v>
      </c>
      <c r="X5" s="52">
        <v>23</v>
      </c>
      <c r="Y5" s="53">
        <v>24</v>
      </c>
      <c r="Z5" s="18">
        <v>25</v>
      </c>
      <c r="AA5" s="12">
        <v>26</v>
      </c>
      <c r="AB5" s="18">
        <v>27</v>
      </c>
      <c r="AC5" s="12">
        <v>28</v>
      </c>
      <c r="AD5" s="18">
        <v>29</v>
      </c>
      <c r="AE5" s="18">
        <v>30</v>
      </c>
      <c r="AF5" s="53">
        <v>31</v>
      </c>
      <c r="AG5" s="4"/>
    </row>
    <row r="6" spans="1:33">
      <c r="A6" s="5" t="s">
        <v>6</v>
      </c>
      <c r="B6" s="19">
        <v>7.49</v>
      </c>
      <c r="C6" s="54"/>
      <c r="D6" s="54"/>
      <c r="E6" s="45"/>
      <c r="F6" s="13">
        <v>8.0399999999999991</v>
      </c>
      <c r="G6" s="13">
        <v>9.11</v>
      </c>
      <c r="H6" s="45"/>
      <c r="I6" s="13">
        <v>7.35</v>
      </c>
      <c r="J6" s="54"/>
      <c r="K6" s="54"/>
      <c r="L6" s="13">
        <v>7.54</v>
      </c>
      <c r="M6" s="13">
        <v>8.0399999999999991</v>
      </c>
      <c r="N6" s="13">
        <v>8.08</v>
      </c>
      <c r="O6" s="13">
        <v>12.48</v>
      </c>
      <c r="P6" s="13">
        <v>8.01</v>
      </c>
      <c r="Q6" s="54"/>
      <c r="R6" s="54"/>
      <c r="S6" s="13">
        <v>7.59</v>
      </c>
      <c r="T6" s="13">
        <v>7.59</v>
      </c>
      <c r="U6" s="13">
        <v>8.0399999999999991</v>
      </c>
      <c r="V6" s="13">
        <v>8.02</v>
      </c>
      <c r="W6" s="20">
        <v>7.52</v>
      </c>
      <c r="X6" s="54"/>
      <c r="Y6" s="54"/>
      <c r="Z6" s="13">
        <v>8.0399999999999991</v>
      </c>
      <c r="AA6" s="13">
        <v>7.56</v>
      </c>
      <c r="AB6" s="13">
        <v>7.59</v>
      </c>
      <c r="AC6" s="13">
        <v>7.53</v>
      </c>
      <c r="AD6" s="13">
        <v>8.06</v>
      </c>
      <c r="AE6" s="13">
        <v>13.03</v>
      </c>
      <c r="AF6" s="54"/>
      <c r="AG6" s="8"/>
    </row>
    <row r="7" spans="1:33">
      <c r="A7" s="33" t="s">
        <v>10</v>
      </c>
      <c r="B7" s="23"/>
      <c r="C7" s="58"/>
      <c r="D7" s="58"/>
      <c r="E7" s="59"/>
      <c r="F7" s="38">
        <v>4</v>
      </c>
      <c r="G7" s="38" t="s">
        <v>12</v>
      </c>
      <c r="H7" s="51"/>
      <c r="I7" s="38"/>
      <c r="J7" s="55"/>
      <c r="K7" s="55"/>
      <c r="L7" s="38"/>
      <c r="M7" s="38">
        <v>4</v>
      </c>
      <c r="N7" s="38">
        <v>8</v>
      </c>
      <c r="O7" s="38" t="s">
        <v>12</v>
      </c>
      <c r="P7" s="38">
        <v>1</v>
      </c>
      <c r="Q7" s="55"/>
      <c r="R7" s="55"/>
      <c r="S7" s="40"/>
      <c r="T7" s="40"/>
      <c r="U7" s="38">
        <v>4</v>
      </c>
      <c r="V7" s="40">
        <v>2</v>
      </c>
      <c r="W7" s="41"/>
      <c r="X7" s="55"/>
      <c r="Y7" s="55"/>
      <c r="Z7" s="38">
        <v>4</v>
      </c>
      <c r="AA7" s="40"/>
      <c r="AB7" s="40"/>
      <c r="AC7" s="40"/>
      <c r="AD7" s="38">
        <v>6</v>
      </c>
      <c r="AE7" s="23"/>
      <c r="AF7" s="58"/>
      <c r="AG7" s="36">
        <f>SUM(B7:AF7)/60</f>
        <v>0.55000000000000004</v>
      </c>
    </row>
    <row r="8" spans="1:33">
      <c r="A8" s="7" t="s">
        <v>7</v>
      </c>
      <c r="B8" s="14">
        <v>17.32</v>
      </c>
      <c r="C8" s="56"/>
      <c r="D8" s="56"/>
      <c r="E8" s="47"/>
      <c r="F8" s="14">
        <v>17.47</v>
      </c>
      <c r="G8" s="14">
        <v>18.43</v>
      </c>
      <c r="H8" s="47"/>
      <c r="I8" s="14">
        <v>17.46</v>
      </c>
      <c r="J8" s="56"/>
      <c r="K8" s="56"/>
      <c r="L8" s="14">
        <v>17.45</v>
      </c>
      <c r="M8" s="14">
        <v>17.420000000000002</v>
      </c>
      <c r="N8" s="14">
        <v>18.010000000000002</v>
      </c>
      <c r="O8" s="14">
        <v>17.54</v>
      </c>
      <c r="P8" s="14">
        <v>18.440000000000001</v>
      </c>
      <c r="Q8" s="56"/>
      <c r="R8" s="56"/>
      <c r="S8" s="14">
        <v>17.43</v>
      </c>
      <c r="T8" s="14">
        <v>17.38</v>
      </c>
      <c r="U8" s="14">
        <v>17.48</v>
      </c>
      <c r="V8" s="14">
        <v>17.55</v>
      </c>
      <c r="W8" s="21">
        <v>17.32</v>
      </c>
      <c r="X8" s="56"/>
      <c r="Y8" s="56"/>
      <c r="Z8" s="14">
        <v>17.48</v>
      </c>
      <c r="AA8" s="14">
        <v>17.45</v>
      </c>
      <c r="AB8" s="14">
        <v>17.45</v>
      </c>
      <c r="AC8" s="14">
        <v>17.350000000000001</v>
      </c>
      <c r="AD8" s="14">
        <v>17.399999999999999</v>
      </c>
      <c r="AE8" s="14">
        <v>17.3</v>
      </c>
      <c r="AF8" s="56"/>
      <c r="AG8" s="9"/>
    </row>
    <row r="9" spans="1:33">
      <c r="A9" s="7" t="s">
        <v>8</v>
      </c>
      <c r="B9" s="14">
        <f>B8-B6-1.5</f>
        <v>8.33</v>
      </c>
      <c r="C9" s="56"/>
      <c r="D9" s="56"/>
      <c r="E9" s="47"/>
      <c r="F9" s="14">
        <f t="shared" ref="F9:AE9" si="0">F8-F6-1.5</f>
        <v>7.93</v>
      </c>
      <c r="G9" s="14">
        <f t="shared" si="0"/>
        <v>7.82</v>
      </c>
      <c r="H9" s="47"/>
      <c r="I9" s="14">
        <f t="shared" si="0"/>
        <v>8.6100000000000012</v>
      </c>
      <c r="J9" s="56"/>
      <c r="K9" s="56"/>
      <c r="L9" s="14">
        <f t="shared" si="0"/>
        <v>8.41</v>
      </c>
      <c r="M9" s="14">
        <f t="shared" si="0"/>
        <v>7.8800000000000026</v>
      </c>
      <c r="N9" s="14">
        <f t="shared" si="0"/>
        <v>8.4300000000000015</v>
      </c>
      <c r="O9" s="14">
        <f t="shared" si="0"/>
        <v>3.5599999999999987</v>
      </c>
      <c r="P9" s="14">
        <f t="shared" si="0"/>
        <v>8.9300000000000015</v>
      </c>
      <c r="Q9" s="56"/>
      <c r="R9" s="56"/>
      <c r="S9" s="14">
        <f t="shared" si="0"/>
        <v>8.34</v>
      </c>
      <c r="T9" s="14">
        <f t="shared" si="0"/>
        <v>8.2899999999999991</v>
      </c>
      <c r="U9" s="14">
        <f t="shared" si="0"/>
        <v>7.9400000000000013</v>
      </c>
      <c r="V9" s="14">
        <f t="shared" si="0"/>
        <v>8.0300000000000011</v>
      </c>
      <c r="W9" s="14">
        <f t="shared" si="0"/>
        <v>8.3000000000000007</v>
      </c>
      <c r="X9" s="56"/>
      <c r="Y9" s="56"/>
      <c r="Z9" s="14">
        <f t="shared" si="0"/>
        <v>7.9400000000000013</v>
      </c>
      <c r="AA9" s="14">
        <f t="shared" si="0"/>
        <v>8.39</v>
      </c>
      <c r="AB9" s="14">
        <f t="shared" si="0"/>
        <v>8.36</v>
      </c>
      <c r="AC9" s="14">
        <f t="shared" si="0"/>
        <v>8.32</v>
      </c>
      <c r="AD9" s="14">
        <f t="shared" si="0"/>
        <v>7.8399999999999981</v>
      </c>
      <c r="AE9" s="14">
        <f t="shared" si="0"/>
        <v>2.7700000000000014</v>
      </c>
      <c r="AF9" s="56"/>
      <c r="AG9" s="10"/>
    </row>
    <row r="10" spans="1:33">
      <c r="A10" s="6" t="s">
        <v>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6"/>
      <c r="Y10" s="16"/>
      <c r="Z10" s="16"/>
      <c r="AA10" s="16"/>
      <c r="AB10" s="16"/>
      <c r="AC10" s="16"/>
      <c r="AD10" s="16"/>
      <c r="AE10" s="16"/>
      <c r="AF10" s="16"/>
      <c r="AG10" s="11">
        <f>SUM(B9:AF9)</f>
        <v>154.42000000000002</v>
      </c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"/>
      <c r="B13" s="1"/>
      <c r="C13" s="1"/>
      <c r="D13" s="1"/>
      <c r="E13" s="1"/>
      <c r="F13" s="67" t="s">
        <v>9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1"/>
      <c r="AB13" s="1"/>
      <c r="AC13" s="1"/>
      <c r="AD13" s="1"/>
      <c r="AE13" s="1"/>
      <c r="AF13" s="1"/>
      <c r="AG13" s="1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8.5">
      <c r="A15" s="22" t="s">
        <v>15</v>
      </c>
      <c r="B15" s="68" t="s">
        <v>5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3" t="s">
        <v>1</v>
      </c>
    </row>
    <row r="16" spans="1:33">
      <c r="A16" s="4"/>
      <c r="B16" s="24">
        <v>1</v>
      </c>
      <c r="C16" s="28">
        <v>2</v>
      </c>
      <c r="D16" s="18">
        <v>3</v>
      </c>
      <c r="E16" s="12">
        <v>4</v>
      </c>
      <c r="F16" s="18">
        <v>5</v>
      </c>
      <c r="G16" s="24">
        <v>6</v>
      </c>
      <c r="H16" s="28">
        <v>7</v>
      </c>
      <c r="I16" s="12">
        <v>8</v>
      </c>
      <c r="J16" s="18">
        <v>9</v>
      </c>
      <c r="K16" s="12">
        <v>10</v>
      </c>
      <c r="L16" s="18">
        <v>11</v>
      </c>
      <c r="M16" s="12">
        <v>12</v>
      </c>
      <c r="N16" s="24">
        <v>13</v>
      </c>
      <c r="O16" s="28">
        <v>14</v>
      </c>
      <c r="P16" s="18">
        <v>15</v>
      </c>
      <c r="Q16" s="12">
        <v>16</v>
      </c>
      <c r="R16" s="18">
        <v>17</v>
      </c>
      <c r="S16" s="12">
        <v>18</v>
      </c>
      <c r="T16" s="18">
        <v>19</v>
      </c>
      <c r="U16" s="12">
        <v>20</v>
      </c>
      <c r="V16" s="18">
        <v>21</v>
      </c>
      <c r="W16" s="12">
        <v>22</v>
      </c>
      <c r="X16" s="18">
        <v>23</v>
      </c>
      <c r="Y16" s="12">
        <v>24</v>
      </c>
      <c r="Z16" s="18">
        <v>25</v>
      </c>
      <c r="AA16" s="12">
        <v>26</v>
      </c>
      <c r="AB16" s="18">
        <v>27</v>
      </c>
      <c r="AC16" s="12">
        <v>28</v>
      </c>
      <c r="AD16" s="18">
        <v>29</v>
      </c>
      <c r="AE16" s="18">
        <v>30</v>
      </c>
      <c r="AF16" s="12">
        <v>31</v>
      </c>
      <c r="AG16" s="4"/>
    </row>
    <row r="17" spans="1:33">
      <c r="A17" s="5" t="s">
        <v>6</v>
      </c>
      <c r="B17" s="25"/>
      <c r="C17" s="25"/>
      <c r="D17" s="13">
        <v>9.24</v>
      </c>
      <c r="E17" s="13">
        <v>7.38</v>
      </c>
      <c r="F17" s="13">
        <v>7.53</v>
      </c>
      <c r="G17" s="25"/>
      <c r="H17" s="25"/>
      <c r="I17" s="13">
        <v>7.52</v>
      </c>
      <c r="J17" s="13">
        <v>7.57</v>
      </c>
      <c r="K17" s="13">
        <v>7.58</v>
      </c>
      <c r="L17" s="13">
        <v>7.56</v>
      </c>
      <c r="M17" s="13">
        <v>7.53</v>
      </c>
      <c r="N17" s="25"/>
      <c r="O17" s="25"/>
      <c r="P17" s="13"/>
      <c r="Q17" s="13"/>
      <c r="R17" s="13"/>
      <c r="S17" s="13"/>
      <c r="T17" s="13"/>
      <c r="U17" s="13"/>
      <c r="V17" s="13"/>
      <c r="W17" s="20"/>
      <c r="X17" s="13"/>
      <c r="Y17" s="13"/>
      <c r="Z17" s="13"/>
      <c r="AA17" s="13"/>
      <c r="AB17" s="13"/>
      <c r="AC17" s="13"/>
      <c r="AD17" s="13"/>
      <c r="AE17" s="29"/>
      <c r="AF17" s="13"/>
      <c r="AG17" s="8"/>
    </row>
    <row r="18" spans="1:33">
      <c r="A18" s="33" t="s">
        <v>10</v>
      </c>
      <c r="B18" s="27"/>
      <c r="C18" s="27"/>
      <c r="D18" s="15" t="s">
        <v>12</v>
      </c>
      <c r="E18" s="15"/>
      <c r="F18" s="23"/>
      <c r="G18" s="27"/>
      <c r="H18" s="27"/>
      <c r="I18" s="23"/>
      <c r="J18" s="15"/>
      <c r="K18" s="15"/>
      <c r="L18" s="23"/>
      <c r="M18" s="23"/>
      <c r="N18" s="27"/>
      <c r="O18" s="27"/>
      <c r="P18" s="23"/>
      <c r="Q18" s="15"/>
      <c r="R18" s="15"/>
      <c r="S18" s="15"/>
      <c r="T18" s="15"/>
      <c r="U18" s="23"/>
      <c r="V18" s="15"/>
      <c r="W18" s="34"/>
      <c r="X18" s="15"/>
      <c r="Y18" s="15"/>
      <c r="Z18" s="23"/>
      <c r="AA18" s="15"/>
      <c r="AB18" s="15"/>
      <c r="AC18" s="15"/>
      <c r="AD18" s="23"/>
      <c r="AE18" s="37"/>
      <c r="AF18" s="15"/>
      <c r="AG18" s="36">
        <f>SUM(B18:AF18)/60</f>
        <v>0</v>
      </c>
    </row>
    <row r="19" spans="1:33">
      <c r="A19" s="7" t="s">
        <v>7</v>
      </c>
      <c r="B19" s="26"/>
      <c r="C19" s="26"/>
      <c r="D19" s="14">
        <v>17.34</v>
      </c>
      <c r="E19" s="14">
        <v>12</v>
      </c>
      <c r="F19" s="14">
        <v>17.34</v>
      </c>
      <c r="G19" s="26"/>
      <c r="H19" s="26"/>
      <c r="I19" s="14">
        <v>17.41</v>
      </c>
      <c r="J19" s="14">
        <v>17.43</v>
      </c>
      <c r="K19" s="14">
        <v>17.43</v>
      </c>
      <c r="L19" s="14">
        <v>17.53</v>
      </c>
      <c r="M19" s="14">
        <v>17.34</v>
      </c>
      <c r="N19" s="26"/>
      <c r="O19" s="26"/>
      <c r="P19" s="14"/>
      <c r="Q19" s="14"/>
      <c r="R19" s="14"/>
      <c r="S19" s="14"/>
      <c r="T19" s="14"/>
      <c r="U19" s="14"/>
      <c r="V19" s="14"/>
      <c r="W19" s="21"/>
      <c r="X19" s="14"/>
      <c r="Y19" s="14"/>
      <c r="Z19" s="14"/>
      <c r="AA19" s="14"/>
      <c r="AB19" s="14"/>
      <c r="AC19" s="14"/>
      <c r="AD19" s="14"/>
      <c r="AE19" s="30"/>
      <c r="AF19" s="14"/>
      <c r="AG19" s="9"/>
    </row>
    <row r="20" spans="1:33">
      <c r="A20" s="7" t="s">
        <v>8</v>
      </c>
      <c r="B20" s="26"/>
      <c r="C20" s="26"/>
      <c r="D20" s="14">
        <v>6.3</v>
      </c>
      <c r="E20" s="14">
        <v>4</v>
      </c>
      <c r="F20" s="14">
        <v>8</v>
      </c>
      <c r="G20" s="26"/>
      <c r="H20" s="26"/>
      <c r="I20" s="14">
        <v>8</v>
      </c>
      <c r="J20" s="14">
        <v>8</v>
      </c>
      <c r="K20" s="14">
        <v>8</v>
      </c>
      <c r="L20" s="14">
        <v>8</v>
      </c>
      <c r="M20" s="14">
        <v>8</v>
      </c>
      <c r="N20" s="26"/>
      <c r="O20" s="26"/>
      <c r="P20" s="14"/>
      <c r="Q20" s="14"/>
      <c r="R20" s="14"/>
      <c r="S20" s="14"/>
      <c r="T20" s="14"/>
      <c r="U20" s="14"/>
      <c r="V20" s="14"/>
      <c r="W20" s="21"/>
      <c r="X20" s="14"/>
      <c r="Y20" s="14"/>
      <c r="Z20" s="14"/>
      <c r="AA20" s="14"/>
      <c r="AB20" s="14"/>
      <c r="AC20" s="14"/>
      <c r="AD20" s="14"/>
      <c r="AE20" s="30"/>
      <c r="AF20" s="14"/>
      <c r="AG20" s="10"/>
    </row>
    <row r="21" spans="1:33">
      <c r="A21" s="6" t="s">
        <v>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6"/>
      <c r="Y21" s="16"/>
      <c r="Z21" s="16"/>
      <c r="AA21" s="16"/>
      <c r="AB21" s="16"/>
      <c r="AC21" s="16"/>
      <c r="AD21" s="16"/>
      <c r="AE21" s="16"/>
      <c r="AF21" s="16"/>
      <c r="AG21" s="11"/>
    </row>
    <row r="25" spans="1:33">
      <c r="C25" s="44" t="s">
        <v>12</v>
      </c>
      <c r="D25" s="44" t="s">
        <v>13</v>
      </c>
      <c r="E25" s="44"/>
      <c r="F25" s="44"/>
      <c r="G25" s="44"/>
    </row>
    <row r="26" spans="1:33">
      <c r="C26" s="43"/>
      <c r="D26" s="1" t="s">
        <v>14</v>
      </c>
      <c r="E26" s="1"/>
      <c r="F26" s="1"/>
      <c r="G26" s="1"/>
    </row>
  </sheetData>
  <mergeCells count="6">
    <mergeCell ref="E1:AA1"/>
    <mergeCell ref="F2:Z2"/>
    <mergeCell ref="B4:AF4"/>
    <mergeCell ref="F13:Z13"/>
    <mergeCell ref="B15:AF15"/>
    <mergeCell ref="B3:D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selection activeCell="F13" sqref="F13:Z13"/>
    </sheetView>
  </sheetViews>
  <sheetFormatPr defaultColWidth="8.85546875" defaultRowHeight="15"/>
  <cols>
    <col min="1" max="1" width="21.28515625" style="1" customWidth="1"/>
    <col min="2" max="2" width="5.7109375" style="1" customWidth="1"/>
    <col min="3" max="3" width="4.28515625" style="1" customWidth="1"/>
    <col min="4" max="4" width="4.85546875" style="1" customWidth="1"/>
    <col min="5" max="5" width="4.7109375" style="1" customWidth="1"/>
    <col min="6" max="9" width="5.42578125" style="1" customWidth="1"/>
    <col min="10" max="10" width="4.42578125" style="1" customWidth="1"/>
    <col min="11" max="11" width="4.7109375" style="1" customWidth="1"/>
    <col min="12" max="15" width="5.42578125" style="1" customWidth="1"/>
    <col min="16" max="16" width="5.85546875" style="1" customWidth="1"/>
    <col min="17" max="17" width="4.28515625" style="1" customWidth="1"/>
    <col min="18" max="18" width="4.42578125" style="1" customWidth="1"/>
    <col min="19" max="19" width="5.28515625" style="1" customWidth="1"/>
    <col min="20" max="20" width="5.42578125" style="1" customWidth="1"/>
    <col min="21" max="21" width="5.28515625" style="1" customWidth="1"/>
    <col min="22" max="23" width="5.42578125" style="1" customWidth="1"/>
    <col min="24" max="24" width="4.85546875" style="1" customWidth="1"/>
    <col min="25" max="25" width="4.42578125" style="1" customWidth="1"/>
    <col min="26" max="26" width="5.42578125" style="1" customWidth="1"/>
    <col min="27" max="27" width="5.7109375" style="1" customWidth="1"/>
    <col min="28" max="30" width="5.42578125" style="1" customWidth="1"/>
    <col min="31" max="32" width="4.42578125" style="1" customWidth="1"/>
    <col min="33" max="16384" width="8.85546875" style="1"/>
  </cols>
  <sheetData>
    <row r="1" spans="1:33" ht="18.75">
      <c r="A1" s="42" t="s">
        <v>4</v>
      </c>
      <c r="B1" s="2"/>
      <c r="C1" s="2"/>
      <c r="D1" s="2"/>
      <c r="E1" s="66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33">
      <c r="A2" s="2"/>
      <c r="B2" s="2"/>
      <c r="C2" s="2"/>
      <c r="D2" s="2"/>
      <c r="E2" s="2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33">
      <c r="A3" s="2" t="s">
        <v>19</v>
      </c>
      <c r="B3" s="71">
        <v>6.25E-2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ht="42.75" customHeight="1">
      <c r="A4" s="22" t="s">
        <v>15</v>
      </c>
      <c r="B4" s="68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3" t="s">
        <v>1</v>
      </c>
    </row>
    <row r="5" spans="1:33">
      <c r="A5" s="4"/>
      <c r="B5" s="18">
        <v>1</v>
      </c>
      <c r="C5" s="53">
        <v>2</v>
      </c>
      <c r="D5" s="52">
        <v>3</v>
      </c>
      <c r="E5" s="12">
        <v>4</v>
      </c>
      <c r="F5" s="18">
        <v>5</v>
      </c>
      <c r="G5" s="12">
        <v>6</v>
      </c>
      <c r="H5" s="18">
        <v>7</v>
      </c>
      <c r="I5" s="12">
        <v>8</v>
      </c>
      <c r="J5" s="52">
        <v>9</v>
      </c>
      <c r="K5" s="53">
        <v>10</v>
      </c>
      <c r="L5" s="18">
        <v>11</v>
      </c>
      <c r="M5" s="12">
        <v>12</v>
      </c>
      <c r="N5" s="18">
        <v>13</v>
      </c>
      <c r="O5" s="12">
        <v>14</v>
      </c>
      <c r="P5" s="18">
        <v>15</v>
      </c>
      <c r="Q5" s="53">
        <v>16</v>
      </c>
      <c r="R5" s="52">
        <v>17</v>
      </c>
      <c r="S5" s="12">
        <v>18</v>
      </c>
      <c r="T5" s="18">
        <v>19</v>
      </c>
      <c r="U5" s="12">
        <v>20</v>
      </c>
      <c r="V5" s="18">
        <v>21</v>
      </c>
      <c r="W5" s="12">
        <v>22</v>
      </c>
      <c r="X5" s="52">
        <v>23</v>
      </c>
      <c r="Y5" s="53">
        <v>24</v>
      </c>
      <c r="Z5" s="18">
        <v>25</v>
      </c>
      <c r="AA5" s="12">
        <v>26</v>
      </c>
      <c r="AB5" s="18">
        <v>27</v>
      </c>
      <c r="AC5" s="12">
        <v>28</v>
      </c>
      <c r="AD5" s="18">
        <v>29</v>
      </c>
      <c r="AE5" s="57">
        <v>30</v>
      </c>
      <c r="AF5" s="53">
        <v>31</v>
      </c>
      <c r="AG5" s="4"/>
    </row>
    <row r="6" spans="1:33">
      <c r="A6" s="5" t="s">
        <v>6</v>
      </c>
      <c r="B6" s="19">
        <v>7.58</v>
      </c>
      <c r="C6" s="54"/>
      <c r="D6" s="54"/>
      <c r="E6" s="13"/>
      <c r="F6" s="13">
        <v>8.01</v>
      </c>
      <c r="G6" s="13">
        <v>8</v>
      </c>
      <c r="H6" s="13">
        <v>7.56</v>
      </c>
      <c r="I6" s="13">
        <v>7.57</v>
      </c>
      <c r="J6" s="54"/>
      <c r="K6" s="54"/>
      <c r="L6" s="13">
        <v>8.17</v>
      </c>
      <c r="M6" s="13">
        <v>7.57</v>
      </c>
      <c r="N6" s="13">
        <v>8.06</v>
      </c>
      <c r="O6" s="13">
        <v>8.0299999999999994</v>
      </c>
      <c r="P6" s="13">
        <v>8.06</v>
      </c>
      <c r="Q6" s="54"/>
      <c r="R6" s="54"/>
      <c r="S6" s="13">
        <v>7.59</v>
      </c>
      <c r="T6" s="13">
        <v>7.57</v>
      </c>
      <c r="U6" s="13">
        <v>8.08</v>
      </c>
      <c r="V6" s="13">
        <v>7.58</v>
      </c>
      <c r="W6" s="20">
        <v>7.59</v>
      </c>
      <c r="X6" s="54"/>
      <c r="Y6" s="54"/>
      <c r="Z6" s="13">
        <v>8.01</v>
      </c>
      <c r="AA6" s="13">
        <v>7.59</v>
      </c>
      <c r="AB6" s="13">
        <v>7.54</v>
      </c>
      <c r="AC6" s="13">
        <v>7.59</v>
      </c>
      <c r="AD6" s="13">
        <v>8.31</v>
      </c>
      <c r="AE6" s="31"/>
      <c r="AF6" s="54"/>
      <c r="AG6" s="8"/>
    </row>
    <row r="7" spans="1:33">
      <c r="A7" s="33" t="s">
        <v>10</v>
      </c>
      <c r="B7" s="23"/>
      <c r="C7" s="58"/>
      <c r="D7" s="58"/>
      <c r="E7" s="15"/>
      <c r="F7" s="38">
        <v>1</v>
      </c>
      <c r="G7" s="38"/>
      <c r="H7" s="38"/>
      <c r="I7" s="38"/>
      <c r="J7" s="55"/>
      <c r="K7" s="55"/>
      <c r="L7" s="38" t="s">
        <v>12</v>
      </c>
      <c r="M7" s="38"/>
      <c r="N7" s="38">
        <v>6</v>
      </c>
      <c r="O7" s="38">
        <v>3</v>
      </c>
      <c r="P7" s="38">
        <v>6</v>
      </c>
      <c r="Q7" s="55"/>
      <c r="R7" s="55"/>
      <c r="S7" s="40"/>
      <c r="T7" s="40"/>
      <c r="U7" s="38">
        <v>8</v>
      </c>
      <c r="V7" s="40"/>
      <c r="W7" s="41"/>
      <c r="X7" s="55"/>
      <c r="Y7" s="55"/>
      <c r="Z7" s="38">
        <v>1</v>
      </c>
      <c r="AA7" s="15"/>
      <c r="AB7" s="15"/>
      <c r="AC7" s="15"/>
      <c r="AD7" s="38" t="s">
        <v>12</v>
      </c>
      <c r="AE7" s="35"/>
      <c r="AF7" s="58"/>
      <c r="AG7" s="36">
        <f>SUM(B7:AF7)/60</f>
        <v>0.41666666666666669</v>
      </c>
    </row>
    <row r="8" spans="1:33" ht="18" customHeight="1">
      <c r="A8" s="7" t="s">
        <v>7</v>
      </c>
      <c r="B8" s="14">
        <v>17.350000000000001</v>
      </c>
      <c r="C8" s="56"/>
      <c r="D8" s="56"/>
      <c r="E8" s="14"/>
      <c r="F8" s="14">
        <v>18.11</v>
      </c>
      <c r="G8" s="14">
        <v>17.510000000000002</v>
      </c>
      <c r="H8" s="14">
        <v>17.510000000000002</v>
      </c>
      <c r="I8" s="14">
        <v>17.43</v>
      </c>
      <c r="J8" s="56"/>
      <c r="K8" s="56"/>
      <c r="L8" s="14">
        <v>17.489999999999998</v>
      </c>
      <c r="M8" s="14">
        <v>17.53</v>
      </c>
      <c r="N8" s="14">
        <v>17.53</v>
      </c>
      <c r="O8" s="14">
        <v>17.52</v>
      </c>
      <c r="P8" s="14">
        <v>18.2</v>
      </c>
      <c r="Q8" s="56"/>
      <c r="R8" s="56"/>
      <c r="S8" s="14">
        <v>17.38</v>
      </c>
      <c r="T8" s="14">
        <v>17.41</v>
      </c>
      <c r="U8" s="14">
        <v>17.55</v>
      </c>
      <c r="V8" s="14">
        <v>17.47</v>
      </c>
      <c r="W8" s="21">
        <v>18.09</v>
      </c>
      <c r="X8" s="56"/>
      <c r="Y8" s="56"/>
      <c r="Z8" s="14">
        <v>17.440000000000001</v>
      </c>
      <c r="AA8" s="14">
        <v>17.45</v>
      </c>
      <c r="AB8" s="14">
        <v>17.37</v>
      </c>
      <c r="AC8" s="14">
        <v>17.329999999999998</v>
      </c>
      <c r="AD8" s="14">
        <v>17.36</v>
      </c>
      <c r="AE8" s="32"/>
      <c r="AF8" s="56"/>
      <c r="AG8" s="9"/>
    </row>
    <row r="9" spans="1:33" ht="17.25" customHeight="1">
      <c r="A9" s="7" t="s">
        <v>8</v>
      </c>
      <c r="B9" s="14">
        <f>B8-B6-1.5</f>
        <v>8.2700000000000014</v>
      </c>
      <c r="C9" s="56"/>
      <c r="D9" s="56"/>
      <c r="E9" s="14"/>
      <c r="F9" s="14">
        <f t="shared" ref="F9:AD9" si="0">F8-F6-1.5</f>
        <v>8.6</v>
      </c>
      <c r="G9" s="14">
        <f t="shared" si="0"/>
        <v>8.0100000000000016</v>
      </c>
      <c r="H9" s="14">
        <f t="shared" si="0"/>
        <v>8.4500000000000028</v>
      </c>
      <c r="I9" s="14">
        <f t="shared" si="0"/>
        <v>8.36</v>
      </c>
      <c r="J9" s="56"/>
      <c r="K9" s="56"/>
      <c r="L9" s="14">
        <f t="shared" si="0"/>
        <v>7.8199999999999985</v>
      </c>
      <c r="M9" s="14">
        <f t="shared" si="0"/>
        <v>8.4600000000000009</v>
      </c>
      <c r="N9" s="14">
        <f t="shared" si="0"/>
        <v>7.9700000000000006</v>
      </c>
      <c r="O9" s="14">
        <f t="shared" si="0"/>
        <v>7.99</v>
      </c>
      <c r="P9" s="14">
        <f t="shared" si="0"/>
        <v>8.6399999999999988</v>
      </c>
      <c r="Q9" s="56"/>
      <c r="R9" s="56"/>
      <c r="S9" s="14">
        <f t="shared" si="0"/>
        <v>8.2899999999999991</v>
      </c>
      <c r="T9" s="14">
        <f t="shared" si="0"/>
        <v>8.34</v>
      </c>
      <c r="U9" s="14">
        <f t="shared" si="0"/>
        <v>7.9700000000000006</v>
      </c>
      <c r="V9" s="14">
        <f t="shared" si="0"/>
        <v>8.3899999999999988</v>
      </c>
      <c r="W9" s="14">
        <f t="shared" si="0"/>
        <v>9</v>
      </c>
      <c r="X9" s="56"/>
      <c r="Y9" s="56"/>
      <c r="Z9" s="14">
        <f t="shared" si="0"/>
        <v>7.9300000000000015</v>
      </c>
      <c r="AA9" s="14">
        <f t="shared" si="0"/>
        <v>8.36</v>
      </c>
      <c r="AB9" s="14">
        <f t="shared" si="0"/>
        <v>8.3300000000000018</v>
      </c>
      <c r="AC9" s="14">
        <f t="shared" si="0"/>
        <v>8.2399999999999984</v>
      </c>
      <c r="AD9" s="14">
        <f t="shared" si="0"/>
        <v>7.5499999999999989</v>
      </c>
      <c r="AE9" s="47"/>
      <c r="AF9" s="56"/>
      <c r="AG9" s="10"/>
    </row>
    <row r="10" spans="1:33">
      <c r="A10" s="6" t="s">
        <v>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6"/>
      <c r="Y10" s="16"/>
      <c r="Z10" s="16"/>
      <c r="AA10" s="16"/>
      <c r="AB10" s="16"/>
      <c r="AC10" s="16"/>
      <c r="AD10" s="16"/>
      <c r="AE10" s="16"/>
      <c r="AF10" s="16"/>
      <c r="AG10" s="11">
        <f>SUM(B9:AF9)</f>
        <v>164.97000000000006</v>
      </c>
    </row>
    <row r="13" spans="1:33">
      <c r="F13" s="67" t="s">
        <v>9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5" spans="1:33" ht="42.75">
      <c r="A15" s="22" t="s">
        <v>15</v>
      </c>
      <c r="B15" s="68" t="s">
        <v>5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3" t="s">
        <v>1</v>
      </c>
    </row>
    <row r="16" spans="1:33">
      <c r="A16" s="4"/>
      <c r="B16" s="24">
        <v>1</v>
      </c>
      <c r="C16" s="28">
        <v>2</v>
      </c>
      <c r="D16" s="18">
        <v>3</v>
      </c>
      <c r="E16" s="12">
        <v>4</v>
      </c>
      <c r="F16" s="18">
        <v>5</v>
      </c>
      <c r="G16" s="24">
        <v>6</v>
      </c>
      <c r="H16" s="28">
        <v>7</v>
      </c>
      <c r="I16" s="12">
        <v>8</v>
      </c>
      <c r="J16" s="18">
        <v>9</v>
      </c>
      <c r="K16" s="12">
        <v>10</v>
      </c>
      <c r="L16" s="18">
        <v>11</v>
      </c>
      <c r="M16" s="12">
        <v>12</v>
      </c>
      <c r="N16" s="24">
        <v>13</v>
      </c>
      <c r="O16" s="28">
        <v>14</v>
      </c>
      <c r="P16" s="18">
        <v>15</v>
      </c>
      <c r="Q16" s="12">
        <v>16</v>
      </c>
      <c r="R16" s="18">
        <v>17</v>
      </c>
      <c r="S16" s="12">
        <v>18</v>
      </c>
      <c r="T16" s="18">
        <v>19</v>
      </c>
      <c r="U16" s="12">
        <v>20</v>
      </c>
      <c r="V16" s="18">
        <v>21</v>
      </c>
      <c r="W16" s="12">
        <v>22</v>
      </c>
      <c r="X16" s="18">
        <v>23</v>
      </c>
      <c r="Y16" s="12">
        <v>24</v>
      </c>
      <c r="Z16" s="18">
        <v>25</v>
      </c>
      <c r="AA16" s="12">
        <v>26</v>
      </c>
      <c r="AB16" s="18">
        <v>27</v>
      </c>
      <c r="AC16" s="12">
        <v>28</v>
      </c>
      <c r="AD16" s="18">
        <v>29</v>
      </c>
      <c r="AE16" s="18">
        <v>30</v>
      </c>
      <c r="AF16" s="12">
        <v>31</v>
      </c>
      <c r="AG16" s="4"/>
    </row>
    <row r="17" spans="1:33">
      <c r="A17" s="5" t="s">
        <v>6</v>
      </c>
      <c r="B17" s="25"/>
      <c r="C17" s="25"/>
      <c r="D17" s="13">
        <v>8.0299999999999994</v>
      </c>
      <c r="E17" s="13">
        <v>7.58</v>
      </c>
      <c r="F17" s="13">
        <v>7.55</v>
      </c>
      <c r="G17" s="25"/>
      <c r="H17" s="25"/>
      <c r="I17" s="13">
        <v>13.29</v>
      </c>
      <c r="J17" s="13">
        <v>8.0399999999999991</v>
      </c>
      <c r="K17" s="13">
        <v>7.57</v>
      </c>
      <c r="L17" s="13">
        <v>7.53</v>
      </c>
      <c r="M17" s="13">
        <v>7.56</v>
      </c>
      <c r="N17" s="25"/>
      <c r="O17" s="25"/>
      <c r="P17" s="13"/>
      <c r="Q17" s="13"/>
      <c r="R17" s="13"/>
      <c r="S17" s="13"/>
      <c r="T17" s="13"/>
      <c r="U17" s="13"/>
      <c r="V17" s="13"/>
      <c r="W17" s="20"/>
      <c r="X17" s="13"/>
      <c r="Y17" s="13"/>
      <c r="Z17" s="13"/>
      <c r="AA17" s="13"/>
      <c r="AB17" s="13"/>
      <c r="AC17" s="13"/>
      <c r="AD17" s="13"/>
      <c r="AE17" s="29"/>
      <c r="AF17" s="13"/>
      <c r="AG17" s="8"/>
    </row>
    <row r="18" spans="1:33">
      <c r="A18" s="33" t="s">
        <v>10</v>
      </c>
      <c r="B18" s="27"/>
      <c r="C18" s="27"/>
      <c r="D18" s="40">
        <v>3</v>
      </c>
      <c r="E18" s="40"/>
      <c r="F18" s="38"/>
      <c r="G18" s="39"/>
      <c r="H18" s="39"/>
      <c r="I18" s="38" t="s">
        <v>12</v>
      </c>
      <c r="J18" s="40">
        <v>4</v>
      </c>
      <c r="K18" s="40"/>
      <c r="L18" s="38"/>
      <c r="M18" s="23"/>
      <c r="N18" s="27"/>
      <c r="O18" s="27"/>
      <c r="P18" s="23"/>
      <c r="Q18" s="15"/>
      <c r="R18" s="15"/>
      <c r="S18" s="15"/>
      <c r="T18" s="15"/>
      <c r="U18" s="23"/>
      <c r="V18" s="15"/>
      <c r="W18" s="34"/>
      <c r="X18" s="15"/>
      <c r="Y18" s="15"/>
      <c r="Z18" s="23"/>
      <c r="AA18" s="15"/>
      <c r="AB18" s="15"/>
      <c r="AC18" s="15"/>
      <c r="AD18" s="23"/>
      <c r="AE18" s="37"/>
      <c r="AF18" s="15"/>
      <c r="AG18" s="36">
        <f>SUM(B18:AF18)/60</f>
        <v>0.11666666666666667</v>
      </c>
    </row>
    <row r="19" spans="1:33">
      <c r="A19" s="7" t="s">
        <v>7</v>
      </c>
      <c r="B19" s="26"/>
      <c r="C19" s="26"/>
      <c r="D19" s="14">
        <v>5.32</v>
      </c>
      <c r="E19" s="14">
        <v>5.31</v>
      </c>
      <c r="F19" s="14">
        <v>5.43</v>
      </c>
      <c r="G19" s="26"/>
      <c r="H19" s="26"/>
      <c r="I19" s="14">
        <v>6.02</v>
      </c>
      <c r="J19" s="14">
        <v>5.38</v>
      </c>
      <c r="K19" s="14">
        <v>6.3</v>
      </c>
      <c r="L19" s="14">
        <v>5.38</v>
      </c>
      <c r="M19" s="14">
        <v>6.01</v>
      </c>
      <c r="N19" s="26"/>
      <c r="O19" s="26"/>
      <c r="P19" s="14"/>
      <c r="Q19" s="14"/>
      <c r="R19" s="14"/>
      <c r="S19" s="14"/>
      <c r="T19" s="14"/>
      <c r="U19" s="14"/>
      <c r="V19" s="14"/>
      <c r="W19" s="21"/>
      <c r="X19" s="14"/>
      <c r="Y19" s="14"/>
      <c r="Z19" s="14"/>
      <c r="AA19" s="14"/>
      <c r="AB19" s="14"/>
      <c r="AC19" s="14"/>
      <c r="AD19" s="14"/>
      <c r="AE19" s="30"/>
      <c r="AF19" s="14"/>
      <c r="AG19" s="9"/>
    </row>
    <row r="20" spans="1:33">
      <c r="A20" s="7" t="s">
        <v>8</v>
      </c>
      <c r="B20" s="26"/>
      <c r="C20" s="26"/>
      <c r="D20" s="14">
        <v>8</v>
      </c>
      <c r="E20" s="14">
        <v>8</v>
      </c>
      <c r="F20" s="14">
        <v>8</v>
      </c>
      <c r="G20" s="26"/>
      <c r="H20" s="26"/>
      <c r="I20" s="14">
        <v>4.3</v>
      </c>
      <c r="J20" s="14">
        <v>8</v>
      </c>
      <c r="K20" s="14">
        <v>9</v>
      </c>
      <c r="L20" s="14">
        <v>8</v>
      </c>
      <c r="M20" s="14">
        <v>8</v>
      </c>
      <c r="N20" s="26"/>
      <c r="O20" s="26"/>
      <c r="P20" s="14"/>
      <c r="Q20" s="14"/>
      <c r="R20" s="14"/>
      <c r="S20" s="14"/>
      <c r="T20" s="14"/>
      <c r="U20" s="14"/>
      <c r="V20" s="14"/>
      <c r="W20" s="21"/>
      <c r="X20" s="14"/>
      <c r="Y20" s="14"/>
      <c r="Z20" s="14"/>
      <c r="AA20" s="14"/>
      <c r="AB20" s="14"/>
      <c r="AC20" s="14"/>
      <c r="AD20" s="14"/>
      <c r="AE20" s="30"/>
      <c r="AF20" s="14"/>
      <c r="AG20" s="10"/>
    </row>
    <row r="21" spans="1:33">
      <c r="A21" s="6" t="s">
        <v>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6"/>
      <c r="Y21" s="16"/>
      <c r="Z21" s="16"/>
      <c r="AA21" s="16"/>
      <c r="AB21" s="16"/>
      <c r="AC21" s="16"/>
      <c r="AD21" s="16"/>
      <c r="AE21" s="16"/>
      <c r="AF21" s="16"/>
      <c r="AG21" s="11"/>
    </row>
    <row r="24" spans="1:33">
      <c r="B24" s="44" t="s">
        <v>12</v>
      </c>
      <c r="C24" s="44" t="s">
        <v>13</v>
      </c>
      <c r="D24" s="44"/>
      <c r="E24" s="44"/>
      <c r="F24" s="44"/>
    </row>
    <row r="25" spans="1:33">
      <c r="B25" s="43"/>
      <c r="C25" s="1" t="s">
        <v>14</v>
      </c>
    </row>
  </sheetData>
  <mergeCells count="6">
    <mergeCell ref="E1:AA1"/>
    <mergeCell ref="F2:Z2"/>
    <mergeCell ref="B4:AF4"/>
    <mergeCell ref="F13:Z13"/>
    <mergeCell ref="B15:AF15"/>
    <mergeCell ref="B3:D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tabSelected="1" workbookViewId="0">
      <selection activeCell="AI13" sqref="AI13"/>
    </sheetView>
  </sheetViews>
  <sheetFormatPr defaultColWidth="11.42578125" defaultRowHeight="15"/>
  <cols>
    <col min="2" max="32" width="5.7109375" customWidth="1"/>
    <col min="33" max="33" width="10.28515625" customWidth="1"/>
  </cols>
  <sheetData>
    <row r="1" spans="1:33" ht="18.75">
      <c r="A1" s="42" t="s">
        <v>17</v>
      </c>
      <c r="B1" s="2"/>
      <c r="C1" s="2"/>
      <c r="D1" s="2"/>
      <c r="E1" s="66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1"/>
      <c r="AC1" s="1"/>
      <c r="AD1" s="1"/>
      <c r="AE1" s="1"/>
      <c r="AF1" s="1"/>
      <c r="AG1" s="1"/>
    </row>
    <row r="2" spans="1:33">
      <c r="A2" s="2"/>
      <c r="B2" s="2"/>
      <c r="C2" s="2"/>
      <c r="D2" s="2"/>
      <c r="E2" s="2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1"/>
      <c r="AB2" s="1"/>
      <c r="AC2" s="1"/>
      <c r="AD2" s="1"/>
      <c r="AE2" s="1"/>
      <c r="AF2" s="1"/>
      <c r="AG2" s="1"/>
    </row>
    <row r="3" spans="1:33">
      <c r="A3" s="2" t="s">
        <v>19</v>
      </c>
      <c r="B3" s="71">
        <v>6.25E-2</v>
      </c>
      <c r="C3" s="71"/>
      <c r="D3" s="7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/>
      <c r="Z3" s="1"/>
      <c r="AA3" s="1"/>
      <c r="AB3" s="1"/>
      <c r="AC3" s="1"/>
      <c r="AD3" s="1"/>
      <c r="AE3" s="1"/>
      <c r="AF3" s="1"/>
      <c r="AG3" s="1"/>
    </row>
    <row r="4" spans="1:33" ht="57">
      <c r="A4" s="22" t="s">
        <v>15</v>
      </c>
      <c r="B4" s="68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3" t="s">
        <v>1</v>
      </c>
    </row>
    <row r="5" spans="1:33">
      <c r="A5" s="4"/>
      <c r="B5" s="18">
        <v>1</v>
      </c>
      <c r="C5" s="53">
        <v>2</v>
      </c>
      <c r="D5" s="52">
        <v>3</v>
      </c>
      <c r="E5" s="12">
        <v>4</v>
      </c>
      <c r="F5" s="57">
        <v>5</v>
      </c>
      <c r="G5" s="12">
        <v>6</v>
      </c>
      <c r="H5" s="18">
        <v>7</v>
      </c>
      <c r="I5" s="12">
        <v>8</v>
      </c>
      <c r="J5" s="52">
        <v>9</v>
      </c>
      <c r="K5" s="53">
        <v>10</v>
      </c>
      <c r="L5" s="18">
        <v>11</v>
      </c>
      <c r="M5" s="12">
        <v>12</v>
      </c>
      <c r="N5" s="18">
        <v>13</v>
      </c>
      <c r="O5" s="12">
        <v>14</v>
      </c>
      <c r="P5" s="18">
        <v>15</v>
      </c>
      <c r="Q5" s="53">
        <v>16</v>
      </c>
      <c r="R5" s="52">
        <v>17</v>
      </c>
      <c r="S5" s="12">
        <v>18</v>
      </c>
      <c r="T5" s="60">
        <v>19</v>
      </c>
      <c r="U5" s="12">
        <v>20</v>
      </c>
      <c r="V5" s="18">
        <v>21</v>
      </c>
      <c r="W5" s="12">
        <v>22</v>
      </c>
      <c r="X5" s="52">
        <v>23</v>
      </c>
      <c r="Y5" s="53">
        <v>24</v>
      </c>
      <c r="Z5" s="18">
        <v>25</v>
      </c>
      <c r="AA5" s="12">
        <v>26</v>
      </c>
      <c r="AB5" s="18">
        <v>27</v>
      </c>
      <c r="AC5" s="12">
        <v>28</v>
      </c>
      <c r="AD5" s="18">
        <v>29</v>
      </c>
      <c r="AE5" s="18">
        <v>30</v>
      </c>
      <c r="AF5" s="53">
        <v>31</v>
      </c>
      <c r="AG5" s="4"/>
    </row>
    <row r="6" spans="1:33" ht="28.5">
      <c r="A6" s="5" t="s">
        <v>6</v>
      </c>
      <c r="B6" s="78">
        <v>0.33055555555555555</v>
      </c>
      <c r="C6" s="79"/>
      <c r="D6" s="79"/>
      <c r="E6" s="80"/>
      <c r="F6" s="81"/>
      <c r="G6" s="80">
        <v>0.32222222222222224</v>
      </c>
      <c r="H6" s="80">
        <v>0.3354166666666667</v>
      </c>
      <c r="I6" s="80">
        <v>0.32916666666666666</v>
      </c>
      <c r="J6" s="79"/>
      <c r="K6" s="79"/>
      <c r="L6" s="80">
        <v>0.33263888888888887</v>
      </c>
      <c r="M6" s="80">
        <v>0.33333333333333331</v>
      </c>
      <c r="N6" s="80">
        <v>0.33680555555555558</v>
      </c>
      <c r="O6" s="80">
        <v>0.33958333333333335</v>
      </c>
      <c r="P6" s="80">
        <v>0.3347222222222222</v>
      </c>
      <c r="Q6" s="79"/>
      <c r="R6" s="79"/>
      <c r="S6" s="80">
        <v>0.33124999999999999</v>
      </c>
      <c r="T6" s="82">
        <v>0.3430555555555555</v>
      </c>
      <c r="U6" s="80">
        <v>0.33680555555555558</v>
      </c>
      <c r="V6" s="80">
        <v>0.33402777777777781</v>
      </c>
      <c r="W6" s="83">
        <v>0.3354166666666667</v>
      </c>
      <c r="X6" s="79"/>
      <c r="Y6" s="79"/>
      <c r="Z6" s="80">
        <v>0.33333333333333331</v>
      </c>
      <c r="AA6" s="80">
        <v>0.33333333333333331</v>
      </c>
      <c r="AB6" s="80">
        <v>0.32708333333333334</v>
      </c>
      <c r="AC6" s="80">
        <v>0.32916666666666666</v>
      </c>
      <c r="AD6" s="80">
        <v>0.32777777777777778</v>
      </c>
      <c r="AE6" s="84">
        <v>0.3298611111111111</v>
      </c>
      <c r="AF6" s="79"/>
      <c r="AG6" s="72"/>
    </row>
    <row r="7" spans="1:33" ht="28.5">
      <c r="A7" s="33" t="s">
        <v>10</v>
      </c>
      <c r="B7" s="23"/>
      <c r="C7" s="58"/>
      <c r="D7" s="58"/>
      <c r="E7" s="15"/>
      <c r="F7" s="51"/>
      <c r="G7" s="38"/>
      <c r="H7" s="38">
        <v>3</v>
      </c>
      <c r="I7" s="38"/>
      <c r="J7" s="55"/>
      <c r="K7" s="55"/>
      <c r="L7" s="38"/>
      <c r="M7" s="38"/>
      <c r="N7" s="38">
        <v>5</v>
      </c>
      <c r="O7" s="38">
        <v>9</v>
      </c>
      <c r="P7" s="38">
        <v>2</v>
      </c>
      <c r="Q7" s="55"/>
      <c r="R7" s="55"/>
      <c r="S7" s="40"/>
      <c r="T7" s="62">
        <v>14</v>
      </c>
      <c r="U7" s="38">
        <v>5</v>
      </c>
      <c r="V7" s="40">
        <v>1</v>
      </c>
      <c r="W7" s="41">
        <v>3</v>
      </c>
      <c r="X7" s="55"/>
      <c r="Y7" s="55"/>
      <c r="Z7" s="38"/>
      <c r="AA7" s="15"/>
      <c r="AB7" s="15"/>
      <c r="AC7" s="15"/>
      <c r="AD7" s="38"/>
      <c r="AE7" s="49"/>
      <c r="AF7" s="58"/>
      <c r="AG7" s="36">
        <f>SUM(B7:AF7)/60</f>
        <v>0.7</v>
      </c>
    </row>
    <row r="8" spans="1:33" ht="28.5">
      <c r="A8" s="7" t="s">
        <v>7</v>
      </c>
      <c r="B8" s="85">
        <v>0.73472222222222217</v>
      </c>
      <c r="C8" s="86"/>
      <c r="D8" s="86"/>
      <c r="E8" s="85"/>
      <c r="F8" s="87"/>
      <c r="G8" s="85">
        <v>0.74305555555555547</v>
      </c>
      <c r="H8" s="85">
        <v>0.74375000000000002</v>
      </c>
      <c r="I8" s="85">
        <v>0.73819444444444438</v>
      </c>
      <c r="J8" s="86"/>
      <c r="K8" s="86"/>
      <c r="L8" s="85">
        <v>0.7368055555555556</v>
      </c>
      <c r="M8" s="85">
        <v>0.74583333333333324</v>
      </c>
      <c r="N8" s="85">
        <v>0.74375000000000002</v>
      </c>
      <c r="O8" s="85">
        <v>0.74513888888888891</v>
      </c>
      <c r="P8" s="85">
        <v>0.71111111111111114</v>
      </c>
      <c r="Q8" s="86"/>
      <c r="R8" s="86"/>
      <c r="S8" s="85">
        <v>0.74444444444444446</v>
      </c>
      <c r="T8" s="88">
        <v>0.73541666666666661</v>
      </c>
      <c r="U8" s="85">
        <v>0.7368055555555556</v>
      </c>
      <c r="V8" s="85">
        <v>0.73541666666666661</v>
      </c>
      <c r="W8" s="89">
        <v>0.73749999999999993</v>
      </c>
      <c r="X8" s="86"/>
      <c r="Y8" s="86"/>
      <c r="Z8" s="85">
        <v>0.73402777777777783</v>
      </c>
      <c r="AA8" s="85">
        <v>0.71111111111111114</v>
      </c>
      <c r="AB8" s="85">
        <v>0.73541666666666661</v>
      </c>
      <c r="AC8" s="85">
        <v>0.71111111111111114</v>
      </c>
      <c r="AD8" s="85">
        <v>0.73888888888888893</v>
      </c>
      <c r="AE8" s="90">
        <v>0.71111111111111114</v>
      </c>
      <c r="AF8" s="86"/>
      <c r="AG8" s="73"/>
    </row>
    <row r="9" spans="1:33" ht="28.5">
      <c r="A9" s="7" t="s">
        <v>8</v>
      </c>
      <c r="B9" s="70">
        <f t="shared" ref="B9:F9" si="0">B8-B6-$B3</f>
        <v>0.34166666666666662</v>
      </c>
      <c r="C9" s="75"/>
      <c r="D9" s="75"/>
      <c r="E9" s="70"/>
      <c r="F9" s="74"/>
      <c r="G9" s="70">
        <f>G8-G6-$B3</f>
        <v>0.35833333333333323</v>
      </c>
      <c r="H9" s="70">
        <f>H8-H6-$B3</f>
        <v>0.34583333333333333</v>
      </c>
      <c r="I9" s="70">
        <f>I8-I6-$B3</f>
        <v>0.34652777777777771</v>
      </c>
      <c r="J9" s="75"/>
      <c r="K9" s="75"/>
      <c r="L9" s="70">
        <f t="shared" ref="J9:AF9" si="1">L8-L6-$B3</f>
        <v>0.34166666666666673</v>
      </c>
      <c r="M9" s="70">
        <f t="shared" si="1"/>
        <v>0.34999999999999992</v>
      </c>
      <c r="N9" s="70">
        <f t="shared" si="1"/>
        <v>0.34444444444444444</v>
      </c>
      <c r="O9" s="70">
        <f t="shared" si="1"/>
        <v>0.34305555555555556</v>
      </c>
      <c r="P9" s="70">
        <f t="shared" si="1"/>
        <v>0.31388888888888894</v>
      </c>
      <c r="Q9" s="75"/>
      <c r="R9" s="75"/>
      <c r="S9" s="70">
        <f t="shared" si="1"/>
        <v>0.35069444444444448</v>
      </c>
      <c r="T9" s="70">
        <f t="shared" si="1"/>
        <v>0.3298611111111111</v>
      </c>
      <c r="U9" s="70">
        <f t="shared" si="1"/>
        <v>0.33750000000000002</v>
      </c>
      <c r="V9" s="70">
        <f t="shared" si="1"/>
        <v>0.3388888888888888</v>
      </c>
      <c r="W9" s="70">
        <f t="shared" si="1"/>
        <v>0.33958333333333324</v>
      </c>
      <c r="X9" s="75"/>
      <c r="Y9" s="75"/>
      <c r="Z9" s="70">
        <f t="shared" si="1"/>
        <v>0.33819444444444452</v>
      </c>
      <c r="AA9" s="70">
        <f t="shared" si="1"/>
        <v>0.31527777777777782</v>
      </c>
      <c r="AB9" s="70">
        <f t="shared" si="1"/>
        <v>0.34583333333333327</v>
      </c>
      <c r="AC9" s="70">
        <f t="shared" si="1"/>
        <v>0.31944444444444448</v>
      </c>
      <c r="AD9" s="70">
        <f t="shared" si="1"/>
        <v>0.34861111111111115</v>
      </c>
      <c r="AE9" s="70">
        <f t="shared" si="1"/>
        <v>0.31875000000000003</v>
      </c>
      <c r="AF9" s="75"/>
      <c r="AG9" s="76"/>
    </row>
    <row r="10" spans="1:33">
      <c r="A10" s="6" t="s">
        <v>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6"/>
      <c r="Y10" s="16"/>
      <c r="Z10" s="16"/>
      <c r="AA10" s="16"/>
      <c r="AB10" s="16"/>
      <c r="AC10" s="16"/>
      <c r="AD10" s="16"/>
      <c r="AE10" s="16"/>
      <c r="AF10" s="16"/>
      <c r="AG10" s="77">
        <f>SUM(B9:AF9)</f>
        <v>6.7680555555555566</v>
      </c>
    </row>
    <row r="11" spans="1:3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"/>
      <c r="B13" s="1"/>
      <c r="C13" s="1"/>
      <c r="D13" s="1"/>
      <c r="E13" s="1"/>
      <c r="F13" s="67" t="s">
        <v>9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1"/>
      <c r="AB13" s="1"/>
      <c r="AC13" s="1"/>
      <c r="AD13" s="1"/>
      <c r="AE13" s="1"/>
      <c r="AF13" s="1"/>
      <c r="AG13" s="1"/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57">
      <c r="A15" s="22" t="s">
        <v>15</v>
      </c>
      <c r="B15" s="68" t="s">
        <v>5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3" t="s">
        <v>1</v>
      </c>
    </row>
    <row r="16" spans="1:33">
      <c r="A16" s="4"/>
      <c r="B16" s="24">
        <v>1</v>
      </c>
      <c r="C16" s="28">
        <v>2</v>
      </c>
      <c r="D16" s="57">
        <v>3</v>
      </c>
      <c r="E16" s="12">
        <v>4</v>
      </c>
      <c r="F16" s="18">
        <v>5</v>
      </c>
      <c r="G16" s="24">
        <v>6</v>
      </c>
      <c r="H16" s="28">
        <v>7</v>
      </c>
      <c r="I16" s="64">
        <v>8</v>
      </c>
      <c r="J16" s="18">
        <v>9</v>
      </c>
      <c r="K16" s="12">
        <v>10</v>
      </c>
      <c r="L16" s="18">
        <v>11</v>
      </c>
      <c r="M16" s="12">
        <v>12</v>
      </c>
      <c r="N16" s="24">
        <v>13</v>
      </c>
      <c r="O16" s="28">
        <v>14</v>
      </c>
      <c r="P16" s="18">
        <v>15</v>
      </c>
      <c r="Q16" s="12">
        <v>16</v>
      </c>
      <c r="R16" s="18">
        <v>17</v>
      </c>
      <c r="S16" s="12">
        <v>18</v>
      </c>
      <c r="T16" s="18">
        <v>19</v>
      </c>
      <c r="U16" s="12">
        <v>20</v>
      </c>
      <c r="V16" s="18">
        <v>21</v>
      </c>
      <c r="W16" s="12">
        <v>22</v>
      </c>
      <c r="X16" s="18">
        <v>23</v>
      </c>
      <c r="Y16" s="12">
        <v>24</v>
      </c>
      <c r="Z16" s="18">
        <v>25</v>
      </c>
      <c r="AA16" s="12">
        <v>26</v>
      </c>
      <c r="AB16" s="18">
        <v>27</v>
      </c>
      <c r="AC16" s="12">
        <v>28</v>
      </c>
      <c r="AD16" s="18">
        <v>29</v>
      </c>
      <c r="AE16" s="18">
        <v>30</v>
      </c>
      <c r="AF16" s="12">
        <v>31</v>
      </c>
      <c r="AG16" s="4"/>
    </row>
    <row r="17" spans="1:33" ht="28.5">
      <c r="A17" s="5" t="s">
        <v>6</v>
      </c>
      <c r="B17" s="25"/>
      <c r="C17" s="25"/>
      <c r="D17" s="45"/>
      <c r="E17" s="13">
        <v>7.53</v>
      </c>
      <c r="F17" s="13">
        <v>7.55</v>
      </c>
      <c r="G17" s="25"/>
      <c r="H17" s="25"/>
      <c r="I17" s="61">
        <v>8</v>
      </c>
      <c r="J17" s="13">
        <v>8.0399999999999991</v>
      </c>
      <c r="K17" s="13">
        <v>12.42</v>
      </c>
      <c r="L17" s="13">
        <v>7.59</v>
      </c>
      <c r="M17" s="13">
        <v>7.54</v>
      </c>
      <c r="N17" s="25"/>
      <c r="O17" s="25"/>
      <c r="P17" s="13"/>
      <c r="Q17" s="13"/>
      <c r="R17" s="13"/>
      <c r="S17" s="13"/>
      <c r="T17" s="13"/>
      <c r="U17" s="13"/>
      <c r="V17" s="13"/>
      <c r="W17" s="20"/>
      <c r="X17" s="13"/>
      <c r="Y17" s="13"/>
      <c r="Z17" s="13"/>
      <c r="AA17" s="13"/>
      <c r="AB17" s="13"/>
      <c r="AC17" s="13"/>
      <c r="AD17" s="13"/>
      <c r="AE17" s="29"/>
      <c r="AF17" s="13"/>
      <c r="AG17" s="8"/>
    </row>
    <row r="18" spans="1:33" ht="28.5">
      <c r="A18" s="33" t="s">
        <v>10</v>
      </c>
      <c r="B18" s="27"/>
      <c r="C18" s="27"/>
      <c r="D18" s="46"/>
      <c r="E18" s="40"/>
      <c r="F18" s="38"/>
      <c r="G18" s="39"/>
      <c r="H18" s="39"/>
      <c r="I18" s="65"/>
      <c r="J18" s="40">
        <v>5</v>
      </c>
      <c r="K18" s="40" t="s">
        <v>18</v>
      </c>
      <c r="L18" s="38" t="s">
        <v>18</v>
      </c>
      <c r="M18" s="38"/>
      <c r="N18" s="27"/>
      <c r="O18" s="27"/>
      <c r="P18" s="23"/>
      <c r="Q18" s="15"/>
      <c r="R18" s="15"/>
      <c r="S18" s="15"/>
      <c r="T18" s="15"/>
      <c r="U18" s="23"/>
      <c r="V18" s="15"/>
      <c r="W18" s="34"/>
      <c r="X18" s="15"/>
      <c r="Y18" s="15"/>
      <c r="Z18" s="23"/>
      <c r="AA18" s="15"/>
      <c r="AB18" s="15"/>
      <c r="AC18" s="15"/>
      <c r="AD18" s="23"/>
      <c r="AE18" s="37"/>
      <c r="AF18" s="15"/>
      <c r="AG18" s="36">
        <f>SUM(B18:AF18)/60</f>
        <v>8.3333333333333329E-2</v>
      </c>
    </row>
    <row r="19" spans="1:33" ht="28.5">
      <c r="A19" s="7" t="s">
        <v>7</v>
      </c>
      <c r="B19" s="26"/>
      <c r="C19" s="26"/>
      <c r="D19" s="47"/>
      <c r="E19" s="14">
        <v>17.41</v>
      </c>
      <c r="F19" s="14">
        <v>17.39</v>
      </c>
      <c r="G19" s="26"/>
      <c r="H19" s="26"/>
      <c r="I19" s="63">
        <v>17.41</v>
      </c>
      <c r="J19" s="14">
        <v>17.5</v>
      </c>
      <c r="K19" s="14">
        <v>17.45</v>
      </c>
      <c r="L19" s="14">
        <v>13.47</v>
      </c>
      <c r="M19" s="14">
        <v>17.489999999999998</v>
      </c>
      <c r="N19" s="26"/>
      <c r="O19" s="26"/>
      <c r="P19" s="14"/>
      <c r="Q19" s="14"/>
      <c r="R19" s="14"/>
      <c r="S19" s="14"/>
      <c r="T19" s="14"/>
      <c r="U19" s="14"/>
      <c r="V19" s="14"/>
      <c r="W19" s="21"/>
      <c r="X19" s="14"/>
      <c r="Y19" s="14"/>
      <c r="Z19" s="14"/>
      <c r="AA19" s="14"/>
      <c r="AB19" s="14"/>
      <c r="AC19" s="14"/>
      <c r="AD19" s="14"/>
      <c r="AE19" s="30"/>
      <c r="AF19" s="14"/>
      <c r="AG19" s="9"/>
    </row>
    <row r="20" spans="1:33" ht="28.5">
      <c r="A20" s="7" t="s">
        <v>8</v>
      </c>
      <c r="B20" s="26"/>
      <c r="C20" s="26"/>
      <c r="D20" s="47"/>
      <c r="E20" s="14">
        <f>E19-E17-1.5</f>
        <v>8.379999999999999</v>
      </c>
      <c r="F20" s="14">
        <f>F19-F17-1.5</f>
        <v>8.34</v>
      </c>
      <c r="G20" s="26"/>
      <c r="H20" s="26"/>
      <c r="I20" s="63">
        <f>I19-I17-1.5</f>
        <v>7.91</v>
      </c>
      <c r="J20" s="14">
        <f>J19-J17-1.5</f>
        <v>7.9600000000000009</v>
      </c>
      <c r="K20" s="14">
        <f>K19-K17-1.5</f>
        <v>3.5299999999999994</v>
      </c>
      <c r="L20" s="14">
        <f>L19-L17-1.5</f>
        <v>4.3800000000000008</v>
      </c>
      <c r="M20" s="14">
        <f>M19-M17-1.5</f>
        <v>8.4499999999999993</v>
      </c>
      <c r="N20" s="26"/>
      <c r="O20" s="26"/>
      <c r="P20" s="14"/>
      <c r="Q20" s="14"/>
      <c r="R20" s="14"/>
      <c r="S20" s="14"/>
      <c r="T20" s="14"/>
      <c r="U20" s="14"/>
      <c r="V20" s="14"/>
      <c r="W20" s="21"/>
      <c r="X20" s="14"/>
      <c r="Y20" s="14"/>
      <c r="Z20" s="14"/>
      <c r="AA20" s="14"/>
      <c r="AB20" s="14"/>
      <c r="AC20" s="14"/>
      <c r="AD20" s="14"/>
      <c r="AE20" s="30"/>
      <c r="AF20" s="14"/>
      <c r="AG20" s="10"/>
    </row>
    <row r="21" spans="1:33">
      <c r="A21" s="6" t="s">
        <v>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6"/>
      <c r="Y21" s="16"/>
      <c r="Z21" s="16"/>
      <c r="AA21" s="16"/>
      <c r="AB21" s="16"/>
      <c r="AC21" s="16"/>
      <c r="AD21" s="16"/>
      <c r="AE21" s="16"/>
      <c r="AF21" s="16"/>
      <c r="AG21" s="11"/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B24" s="44" t="s">
        <v>12</v>
      </c>
      <c r="C24" s="44" t="s">
        <v>13</v>
      </c>
      <c r="D24" s="44"/>
      <c r="E24" s="44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B25" s="43"/>
      <c r="C25" s="1" t="s">
        <v>14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</sheetData>
  <mergeCells count="6">
    <mergeCell ref="E1:AA1"/>
    <mergeCell ref="F2:Z2"/>
    <mergeCell ref="B4:AF4"/>
    <mergeCell ref="F13:Z13"/>
    <mergeCell ref="B15:AF15"/>
    <mergeCell ref="B3:D3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Vũ Xuân Thành</vt:lpstr>
      <vt:lpstr>Lê Trung Hậu</vt:lpstr>
      <vt:lpstr>Trương Tuấn Anh</vt:lpstr>
      <vt:lpstr>Lê Huy Công</vt:lpstr>
    </vt:vector>
  </TitlesOfParts>
  <Company>TTM T&amp;S Co.,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Loannt</dc:creator>
  <cp:lastModifiedBy>TTM-Leader</cp:lastModifiedBy>
  <dcterms:created xsi:type="dcterms:W3CDTF">2012-12-26T10:05:19Z</dcterms:created>
  <dcterms:modified xsi:type="dcterms:W3CDTF">2014-09-16T03:40:40Z</dcterms:modified>
</cp:coreProperties>
</file>